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4353eb5d56728a/Documents/"/>
    </mc:Choice>
  </mc:AlternateContent>
  <xr:revisionPtr revIDLastSave="114" documentId="8_{B258D9CC-9EAA-40B3-B8EA-E394FABBF416}" xr6:coauthVersionLast="47" xr6:coauthVersionMax="47" xr10:uidLastSave="{F8DC51DE-85E5-4360-BC1B-CC3814B68478}"/>
  <bookViews>
    <workbookView xWindow="-108" yWindow="-108" windowWidth="23256" windowHeight="12456" activeTab="2" xr2:uid="{D3428C90-89FA-44D4-A0B8-04E25FF26357}"/>
  </bookViews>
  <sheets>
    <sheet name="Pivot 1" sheetId="2" r:id="rId1"/>
    <sheet name="pivot 2" sheetId="4" r:id="rId2"/>
    <sheet name="Sheet3" sheetId="7" r:id="rId3"/>
    <sheet name="Data" sheetId="1" r:id="rId4"/>
  </sheets>
  <calcPr calcId="191029"/>
  <pivotCaches>
    <pivotCache cacheId="4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</calcChain>
</file>

<file path=xl/sharedStrings.xml><?xml version="1.0" encoding="utf-8"?>
<sst xmlns="http://schemas.openxmlformats.org/spreadsheetml/2006/main" count="233" uniqueCount="20">
  <si>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</si>
  <si>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</si>
  <si>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</si>
  <si>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</si>
  <si>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</si>
  <si>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</si>
  <si>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</si>
  <si>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</si>
  <si>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TWITTER</t>
  </si>
  <si>
    <t>YOUTUBE</t>
  </si>
  <si>
    <t>LINKEDIN</t>
  </si>
  <si>
    <t>Row Labels</t>
  </si>
  <si>
    <t>Grand Total</t>
  </si>
  <si>
    <t>Average of Engagement_Rate</t>
  </si>
  <si>
    <t>Net_Growth</t>
  </si>
  <si>
    <t>Sum of Net_Growth</t>
  </si>
  <si>
    <t>Average of Ad_Spend</t>
  </si>
  <si>
    <t>Visulaise Engagement VS Ad_spend per platform</t>
  </si>
  <si>
    <t xml:space="preserve">Platform With Engagement </t>
  </si>
  <si>
    <t>Compare Growth Rate Across the Platfrom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</si>
</sst>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/mm/yyyy;@"/>
    <numFmt numFmtId="165" formatCode="&quot;₹&quot;\ #,##0.00"/>
    <numFmt numFmtId="167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top"/>
    </xf>
    <xf numFmtId="164" fontId="3" fillId="0" borderId="0" xfId="0" applyNumberFormat="1" applyFont="1"/>
    <xf numFmtId="0" fontId="1" fillId="0" borderId="0" xfId="0" applyFont="1" applyAlignment="1">
      <alignment horizontal="left"/>
    </xf>
    <xf numFmtId="1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165" fontId="0" fillId="0" borderId="0" xfId="0" applyNumberFormat="1"/>
    <xf numFmtId="0" fontId="0" fillId="0" borderId="0" xfId="0" pivotButton="1"/>
    <xf numFmtId="164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0" fontId="5" fillId="0" borderId="0" xfId="0" applyFont="1"/>
    <xf numFmtId="0" fontId="6" fillId="0" borderId="0" xfId="0" applyFont="1" applyAlignment="1">
      <alignment horizontal="left" vertical="top"/>
    </xf>
    <xf numFmtId="0" fontId="7" fillId="0" borderId="0" xfId="0" applyFont="1"/>
    <xf numFmtId="10" fontId="2" fillId="0" borderId="0" xfId="0" applyNumberFormat="1" applyFont="1" applyAlignment="1">
      <alignment horizontal="center" vertical="top"/>
    </xf>
    <xf numFmtId="10" fontId="0" fillId="0" borderId="0" xfId="0" applyNumberFormat="1"/>
    <xf numFmtId="167" fontId="2" fillId="0" borderId="2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[platform analysis.xlsx]Sheet3!PivotTable3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15.559291798886182</c:v>
                </c:pt>
                <c:pt idx="1">
                  <c:v>14.067998324800023</c:v>
                </c:pt>
                <c:pt idx="2">
                  <c:v>17.480513118999934</c:v>
                </c:pt>
                <c:pt idx="3">
                  <c:v>17.599262914182141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8-46EC-AAE8-5625C397411F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Ad_Spend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34821.23529411765</c:v>
                </c:pt>
                <c:pt idx="1">
                  <c:v>36191.327272727271</c:v>
                </c:pt>
                <c:pt idx="2">
                  <c:v>35360.056603773584</c:v>
                </c:pt>
                <c:pt idx="3">
                  <c:v>31374.90243902439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8-46EC-AAE8-5625C3974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091311"/>
        <c:axId val="1993092751"/>
      </c:barChart>
      <c:catAx>
        <c:axId val="199309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092751"/>
        <c:crosses val="autoZero"/>
        <c:auto val="1"/>
        <c:lblAlgn val="ctr"/>
        <c:lblOffset val="100"/>
        <c:noMultiLvlLbl val="0"/>
      </c:catAx>
      <c:valAx>
        <c:axId val="199309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09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118110</xdr:rowOff>
    </xdr:from>
    <xdr:to>
      <xdr:col>11</xdr:col>
      <xdr:colOff>495300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91D30-BBF3-9E3F-5258-D21B0EE3A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 c" refreshedDate="46137.831892592592" createdVersion="8" refreshedVersion="8" minRefreshableVersion="3" recordCount="201" xr:uid="{26C2C135-4E15-4970-8B8A-37C7322BD36E}">
  <cacheSource type="worksheet">
    <worksheetSource ref="A1:G1048576" sheet="Data"/>
  </cacheSource>
  <cacheFields count="7">
    <cacheField name="Week_Start_Date" numFmtId="164">
      <sharedItems containsNonDate="0" containsDate="1" containsString="0" containsBlank="1" minDate="2024-06-03T00:00:00" maxDate="2025-05-13T00:00:00"/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1">
      <sharedItems containsString="0" containsBlank="1" containsNumber="1" containsInteger="1" minValue="1016" maxValue="9984"/>
    </cacheField>
    <cacheField name="Unfollows" numFmtId="1">
      <sharedItems containsString="0" containsBlank="1" containsNumber="1" containsInteger="1" minValue="67" maxValue="1417"/>
    </cacheField>
    <cacheField name="Total_Followers" numFmtId="1">
      <sharedItems containsString="0" containsBlank="1" containsNumber="1" containsInteger="1" minValue="103777" maxValue="1186398"/>
    </cacheField>
    <cacheField name="Engagement_Rate" numFmtId="10">
      <sharedItems containsString="0" containsBlank="1" containsNumber="1" minValue="1.381177897889402" maxValue="92.312204605638044"/>
    </cacheField>
    <cacheField name="Ad_Spend" numFmtId="165">
      <sharedItems containsString="0" containsBlank="1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 c" refreshedDate="46137.83845127315" createdVersion="8" refreshedVersion="8" minRefreshableVersion="3" recordCount="201" xr:uid="{47A6B763-5F76-4890-B82A-5E5D44C55776}">
  <cacheSource type="worksheet">
    <worksheetSource ref="A1:H1048576" sheet="Data"/>
  </cacheSource>
  <cacheFields count="8">
    <cacheField name="Week_Start_Date" numFmtId="164">
      <sharedItems containsNonDate="0" containsDate="1" containsString="0" containsBlank="1" minDate="2024-06-03T00:00:00" maxDate="2025-05-13T00:00:00"/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1">
      <sharedItems containsString="0" containsBlank="1" containsNumber="1" containsInteger="1" minValue="1016" maxValue="9984"/>
    </cacheField>
    <cacheField name="Unfollows" numFmtId="1">
      <sharedItems containsString="0" containsBlank="1" containsNumber="1" containsInteger="1" minValue="67" maxValue="1417"/>
    </cacheField>
    <cacheField name="Total_Followers" numFmtId="1">
      <sharedItems containsString="0" containsBlank="1" containsNumber="1" containsInteger="1" minValue="103777" maxValue="1186398"/>
    </cacheField>
    <cacheField name="Engagement_Rate" numFmtId="10">
      <sharedItems containsString="0" containsBlank="1" containsNumber="1" minValue="1.381177897889402" maxValue="92.312204605638044"/>
    </cacheField>
    <cacheField name="Ad_Spend" numFmtId="165">
      <sharedItems containsString="0" containsBlank="1" containsNumber="1" containsInteger="1" minValue="10161" maxValue="59823"/>
    </cacheField>
    <cacheField name="Net_Growth" numFmtId="0">
      <sharedItems containsString="0" containsBlank="1" containsNumber="1" minValue="7.7465246904209403E-4" maxValue="6.807059296751918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d v="2024-06-03T00:00:00"/>
    <x v="0"/>
    <n v="4138"/>
    <n v="361"/>
    <n v="103777"/>
    <n v="56.637790647253247"/>
    <n v="23944"/>
  </r>
  <r>
    <d v="2024-06-03T00:00:00"/>
    <x v="1"/>
    <n v="8693"/>
    <n v="1261"/>
    <n v="111209"/>
    <n v="69.475492091467416"/>
    <n v="29873"/>
  </r>
  <r>
    <d v="2024-06-03T00:00:00"/>
    <x v="2"/>
    <n v="9264"/>
    <n v="1141"/>
    <n v="119332"/>
    <n v="92.312204605638044"/>
    <n v="50372"/>
  </r>
  <r>
    <d v="2024-06-03T00:00:00"/>
    <x v="2"/>
    <n v="8842"/>
    <n v="971"/>
    <n v="127203"/>
    <n v="16.351815601833291"/>
    <n v="33928"/>
  </r>
  <r>
    <d v="2024-06-10T00:00:00"/>
    <x v="0"/>
    <n v="7721"/>
    <n v="506"/>
    <n v="134418"/>
    <n v="35.577824398518047"/>
    <n v="25379"/>
  </r>
  <r>
    <d v="2024-06-10T00:00:00"/>
    <x v="2"/>
    <n v="8002"/>
    <n v="524"/>
    <n v="141896"/>
    <n v="52.064892597395271"/>
    <n v="46751"/>
  </r>
  <r>
    <d v="2024-06-10T00:00:00"/>
    <x v="1"/>
    <n v="5225"/>
    <n v="291"/>
    <n v="146830"/>
    <n v="19.551862698358651"/>
    <n v="44546"/>
  </r>
  <r>
    <d v="2024-06-10T00:00:00"/>
    <x v="1"/>
    <n v="3978"/>
    <n v="543"/>
    <n v="150265"/>
    <n v="49.159817655475329"/>
    <n v="34286"/>
  </r>
  <r>
    <d v="2024-06-17T00:00:00"/>
    <x v="0"/>
    <n v="8373"/>
    <n v="921"/>
    <n v="157717"/>
    <n v="12.2263294381709"/>
    <n v="15110"/>
  </r>
  <r>
    <d v="2024-06-17T00:00:00"/>
    <x v="1"/>
    <n v="6907"/>
    <n v="834"/>
    <n v="163790"/>
    <n v="54.158984064961238"/>
    <n v="22087"/>
  </r>
  <r>
    <d v="2024-06-17T00:00:00"/>
    <x v="3"/>
    <n v="7097"/>
    <n v="369"/>
    <n v="170518"/>
    <n v="9.2506362964613711"/>
    <n v="33762"/>
  </r>
  <r>
    <d v="2024-06-17T00:00:00"/>
    <x v="0"/>
    <n v="6656"/>
    <n v="978"/>
    <n v="176196"/>
    <n v="60.425889350496043"/>
    <n v="27081"/>
  </r>
  <r>
    <d v="2024-06-24T00:00:00"/>
    <x v="1"/>
    <n v="9984"/>
    <n v="1330"/>
    <n v="184850"/>
    <n v="57.524479307546663"/>
    <n v="44947"/>
  </r>
  <r>
    <d v="2024-06-24T00:00:00"/>
    <x v="0"/>
    <n v="5259"/>
    <n v="374"/>
    <n v="189735"/>
    <n v="14.827522597306769"/>
    <n v="19596"/>
  </r>
  <r>
    <d v="2024-06-24T00:00:00"/>
    <x v="2"/>
    <n v="9286"/>
    <n v="633"/>
    <n v="198388"/>
    <n v="5.4343004617214756"/>
    <n v="48019"/>
  </r>
  <r>
    <d v="2024-06-24T00:00:00"/>
    <x v="1"/>
    <n v="6901"/>
    <n v="471"/>
    <n v="204818"/>
    <n v="60.827661631301943"/>
    <n v="52003"/>
  </r>
  <r>
    <d v="2024-07-01T00:00:00"/>
    <x v="3"/>
    <n v="5917"/>
    <n v="475"/>
    <n v="210260"/>
    <n v="17.894035955483691"/>
    <n v="28313"/>
  </r>
  <r>
    <d v="2024-07-01T00:00:00"/>
    <x v="1"/>
    <n v="9429"/>
    <n v="966"/>
    <n v="218723"/>
    <n v="7.6914636320825887"/>
    <n v="57639"/>
  </r>
  <r>
    <d v="2024-07-01T00:00:00"/>
    <x v="0"/>
    <n v="3530"/>
    <n v="328"/>
    <n v="221925"/>
    <n v="12.8372197814577"/>
    <n v="11013"/>
  </r>
  <r>
    <d v="2024-07-01T00:00:00"/>
    <x v="0"/>
    <n v="2960"/>
    <n v="234"/>
    <n v="224651"/>
    <n v="17.41278694508371"/>
    <n v="59378"/>
  </r>
  <r>
    <d v="2024-07-08T00:00:00"/>
    <x v="1"/>
    <n v="8045"/>
    <n v="894"/>
    <n v="231802"/>
    <n v="47.634187798207087"/>
    <n v="33705"/>
  </r>
  <r>
    <d v="2024-07-08T00:00:00"/>
    <x v="3"/>
    <n v="2048"/>
    <n v="130"/>
    <n v="233720"/>
    <n v="39.284614068115687"/>
    <n v="11828"/>
  </r>
  <r>
    <d v="2024-07-08T00:00:00"/>
    <x v="3"/>
    <n v="6772"/>
    <n v="536"/>
    <n v="239956"/>
    <n v="9.8205504342462788"/>
    <n v="17909"/>
  </r>
  <r>
    <d v="2024-07-08T00:00:00"/>
    <x v="3"/>
    <n v="3529"/>
    <n v="305"/>
    <n v="243180"/>
    <n v="41.606628834608109"/>
    <n v="48356"/>
  </r>
  <r>
    <d v="2024-07-15T00:00:00"/>
    <x v="0"/>
    <n v="3964"/>
    <n v="378"/>
    <n v="246766"/>
    <n v="13.6355899921383"/>
    <n v="23109"/>
  </r>
  <r>
    <d v="2024-07-15T00:00:00"/>
    <x v="1"/>
    <n v="8137"/>
    <n v="1045"/>
    <n v="253858"/>
    <n v="20.47246886054408"/>
    <n v="12023"/>
  </r>
  <r>
    <d v="2024-07-15T00:00:00"/>
    <x v="2"/>
    <n v="1963"/>
    <n v="137"/>
    <n v="255684"/>
    <n v="11.2083665774941"/>
    <n v="24537"/>
  </r>
  <r>
    <d v="2024-07-15T00:00:00"/>
    <x v="0"/>
    <n v="1536"/>
    <n v="155"/>
    <n v="257065"/>
    <n v="12.15762550327738"/>
    <n v="36661"/>
  </r>
  <r>
    <d v="2024-07-22T00:00:00"/>
    <x v="3"/>
    <n v="8340"/>
    <n v="911"/>
    <n v="264494"/>
    <n v="37.302925586213682"/>
    <n v="48659"/>
  </r>
  <r>
    <d v="2024-07-22T00:00:00"/>
    <x v="1"/>
    <n v="8179"/>
    <n v="446"/>
    <n v="272227"/>
    <n v="41.82171496581897"/>
    <n v="43848"/>
  </r>
  <r>
    <d v="2024-07-22T00:00:00"/>
    <x v="3"/>
    <n v="8967"/>
    <n v="993"/>
    <n v="280201"/>
    <n v="52.792102811910027"/>
    <n v="47804"/>
  </r>
  <r>
    <d v="2024-07-22T00:00:00"/>
    <x v="2"/>
    <n v="9734"/>
    <n v="652"/>
    <n v="289283"/>
    <n v="49.647922622483861"/>
    <n v="25379"/>
  </r>
  <r>
    <d v="2024-07-29T00:00:00"/>
    <x v="3"/>
    <n v="1845"/>
    <n v="104"/>
    <n v="291024"/>
    <n v="28.158158777282971"/>
    <n v="37766"/>
  </r>
  <r>
    <d v="2024-07-29T00:00:00"/>
    <x v="3"/>
    <n v="6777"/>
    <n v="981"/>
    <n v="296820"/>
    <n v="23.920557913887201"/>
    <n v="53590"/>
  </r>
  <r>
    <d v="2024-07-29T00:00:00"/>
    <x v="2"/>
    <n v="4036"/>
    <n v="591"/>
    <n v="300265"/>
    <n v="44.219272975538267"/>
    <n v="12563"/>
  </r>
  <r>
    <d v="2024-07-29T00:00:00"/>
    <x v="1"/>
    <n v="6947"/>
    <n v="908"/>
    <n v="306304"/>
    <n v="14.117673944839121"/>
    <n v="46060"/>
  </r>
  <r>
    <d v="2024-08-05T00:00:00"/>
    <x v="0"/>
    <n v="3494"/>
    <n v="281"/>
    <n v="309517"/>
    <n v="27.765518533715429"/>
    <n v="39197"/>
  </r>
  <r>
    <d v="2024-08-05T00:00:00"/>
    <x v="1"/>
    <n v="3719"/>
    <n v="222"/>
    <n v="313014"/>
    <n v="21.669318305251519"/>
    <n v="13586"/>
  </r>
  <r>
    <d v="2024-08-05T00:00:00"/>
    <x v="2"/>
    <n v="2884"/>
    <n v="341"/>
    <n v="315557"/>
    <n v="46.999749649033298"/>
    <n v="26087"/>
  </r>
  <r>
    <d v="2024-08-05T00:00:00"/>
    <x v="3"/>
    <n v="5349"/>
    <n v="502"/>
    <n v="320404"/>
    <n v="5.2152906954969351"/>
    <n v="58868"/>
  </r>
  <r>
    <d v="2024-08-12T00:00:00"/>
    <x v="1"/>
    <n v="6179"/>
    <n v="384"/>
    <n v="326199"/>
    <n v="14.71218489327067"/>
    <n v="33225"/>
  </r>
  <r>
    <d v="2024-08-12T00:00:00"/>
    <x v="0"/>
    <n v="7610"/>
    <n v="757"/>
    <n v="333052"/>
    <n v="44.450416151231643"/>
    <n v="39750"/>
  </r>
  <r>
    <d v="2024-08-12T00:00:00"/>
    <x v="2"/>
    <n v="7430"/>
    <n v="397"/>
    <n v="340085"/>
    <n v="28.065042562888689"/>
    <n v="16643"/>
  </r>
  <r>
    <d v="2024-08-12T00:00:00"/>
    <x v="1"/>
    <n v="8154"/>
    <n v="1149"/>
    <n v="347090"/>
    <n v="26.003918292085629"/>
    <n v="37523"/>
  </r>
  <r>
    <d v="2024-08-19T00:00:00"/>
    <x v="0"/>
    <n v="7488"/>
    <n v="568"/>
    <n v="354010"/>
    <n v="13.47730290104799"/>
    <n v="46727"/>
  </r>
  <r>
    <d v="2024-08-19T00:00:00"/>
    <x v="2"/>
    <n v="5737"/>
    <n v="666"/>
    <n v="359081"/>
    <n v="4.6034181702735593"/>
    <n v="21005"/>
  </r>
  <r>
    <d v="2024-08-19T00:00:00"/>
    <x v="0"/>
    <n v="7525"/>
    <n v="610"/>
    <n v="365996"/>
    <n v="5.7694619613329108"/>
    <n v="53543"/>
  </r>
  <r>
    <d v="2024-08-19T00:00:00"/>
    <x v="2"/>
    <n v="4850"/>
    <n v="494"/>
    <n v="370352"/>
    <n v="20.46539508359615"/>
    <n v="10161"/>
  </r>
  <r>
    <d v="2024-08-26T00:00:00"/>
    <x v="3"/>
    <n v="1689"/>
    <n v="176"/>
    <n v="371865"/>
    <n v="38.012181840183942"/>
    <n v="26029"/>
  </r>
  <r>
    <d v="2024-08-26T00:00:00"/>
    <x v="1"/>
    <n v="6175"/>
    <n v="422"/>
    <n v="377618"/>
    <n v="37.86101298137271"/>
    <n v="59745"/>
  </r>
  <r>
    <d v="2024-08-26T00:00:00"/>
    <x v="0"/>
    <n v="9648"/>
    <n v="1417"/>
    <n v="385849"/>
    <n v="3.6633501706626168"/>
    <n v="24226"/>
  </r>
  <r>
    <d v="2024-08-26T00:00:00"/>
    <x v="2"/>
    <n v="6078"/>
    <n v="775"/>
    <n v="391152"/>
    <n v="37.760512537325639"/>
    <n v="38731"/>
  </r>
  <r>
    <d v="2024-09-02T00:00:00"/>
    <x v="0"/>
    <n v="6448"/>
    <n v="928"/>
    <n v="396672"/>
    <n v="30.118586640851881"/>
    <n v="53922"/>
  </r>
  <r>
    <d v="2024-09-02T00:00:00"/>
    <x v="0"/>
    <n v="2179"/>
    <n v="303"/>
    <n v="398548"/>
    <n v="33.909842729106657"/>
    <n v="54848"/>
  </r>
  <r>
    <d v="2024-09-02T00:00:00"/>
    <x v="1"/>
    <n v="7406"/>
    <n v="813"/>
    <n v="405141"/>
    <n v="24.457411123534769"/>
    <n v="13390"/>
  </r>
  <r>
    <d v="2024-09-02T00:00:00"/>
    <x v="3"/>
    <n v="9591"/>
    <n v="1363"/>
    <n v="413369"/>
    <n v="10.494255737609739"/>
    <n v="15997"/>
  </r>
  <r>
    <d v="2024-09-09T00:00:00"/>
    <x v="0"/>
    <n v="7907"/>
    <n v="465"/>
    <n v="420811"/>
    <n v="33.257448118038738"/>
    <n v="22693"/>
  </r>
  <r>
    <d v="2024-09-09T00:00:00"/>
    <x v="2"/>
    <n v="9800"/>
    <n v="682"/>
    <n v="429929"/>
    <n v="6.2966210699906267"/>
    <n v="59815"/>
  </r>
  <r>
    <d v="2024-09-09T00:00:00"/>
    <x v="2"/>
    <n v="2638"/>
    <n v="143"/>
    <n v="432424"/>
    <n v="6.9547481175882924"/>
    <n v="52092"/>
  </r>
  <r>
    <d v="2024-09-09T00:00:00"/>
    <x v="3"/>
    <n v="6671"/>
    <n v="550"/>
    <n v="438545"/>
    <n v="17.750287883797562"/>
    <n v="10541"/>
  </r>
  <r>
    <d v="2024-09-16T00:00:00"/>
    <x v="2"/>
    <n v="7928"/>
    <n v="704"/>
    <n v="445769"/>
    <n v="11.194362999670229"/>
    <n v="31817"/>
  </r>
  <r>
    <d v="2024-09-16T00:00:00"/>
    <x v="3"/>
    <n v="2382"/>
    <n v="183"/>
    <n v="447968"/>
    <n v="4.7335970426459033"/>
    <n v="47861"/>
  </r>
  <r>
    <d v="2024-09-16T00:00:00"/>
    <x v="2"/>
    <n v="2403"/>
    <n v="319"/>
    <n v="450052"/>
    <n v="29.92120910472568"/>
    <n v="23428"/>
  </r>
  <r>
    <d v="2024-09-16T00:00:00"/>
    <x v="1"/>
    <n v="4292"/>
    <n v="367"/>
    <n v="453977"/>
    <n v="3.5037017293827661"/>
    <n v="53934"/>
  </r>
  <r>
    <d v="2024-09-23T00:00:00"/>
    <x v="0"/>
    <n v="1419"/>
    <n v="110"/>
    <n v="455286"/>
    <n v="31.554451487636339"/>
    <n v="58831"/>
  </r>
  <r>
    <d v="2024-09-23T00:00:00"/>
    <x v="1"/>
    <n v="5517"/>
    <n v="575"/>
    <n v="460228"/>
    <n v="29.45844233727631"/>
    <n v="20258"/>
  </r>
  <r>
    <d v="2024-09-23T00:00:00"/>
    <x v="0"/>
    <n v="4302"/>
    <n v="275"/>
    <n v="464255"/>
    <n v="15.72131694865968"/>
    <n v="26044"/>
  </r>
  <r>
    <d v="2024-09-23T00:00:00"/>
    <x v="0"/>
    <n v="8857"/>
    <n v="1153"/>
    <n v="471959"/>
    <n v="19.214592793018038"/>
    <n v="39411"/>
  </r>
  <r>
    <d v="2024-09-30T00:00:00"/>
    <x v="0"/>
    <n v="8870"/>
    <n v="509"/>
    <n v="480320"/>
    <n v="25.077864756828781"/>
    <n v="15469"/>
  </r>
  <r>
    <d v="2024-09-30T00:00:00"/>
    <x v="1"/>
    <n v="6693"/>
    <n v="995"/>
    <n v="486018"/>
    <n v="23.761877132122681"/>
    <n v="38854"/>
  </r>
  <r>
    <d v="2024-09-30T00:00:00"/>
    <x v="0"/>
    <n v="1767"/>
    <n v="224"/>
    <n v="487561"/>
    <n v="13.208603641390511"/>
    <n v="16256"/>
  </r>
  <r>
    <d v="2024-09-30T00:00:00"/>
    <x v="1"/>
    <n v="3044"/>
    <n v="212"/>
    <n v="490393"/>
    <n v="8.5343795690395261"/>
    <n v="20720"/>
  </r>
  <r>
    <d v="2024-10-07T00:00:00"/>
    <x v="3"/>
    <n v="2549"/>
    <n v="128"/>
    <n v="492814"/>
    <n v="12.734216154573531"/>
    <n v="43937"/>
  </r>
  <r>
    <d v="2024-10-07T00:00:00"/>
    <x v="2"/>
    <n v="7140"/>
    <n v="939"/>
    <n v="499015"/>
    <n v="25.120888149654821"/>
    <n v="43598"/>
  </r>
  <r>
    <d v="2024-10-07T00:00:00"/>
    <x v="2"/>
    <n v="4716"/>
    <n v="569"/>
    <n v="503162"/>
    <n v="25.64820077827817"/>
    <n v="11651"/>
  </r>
  <r>
    <d v="2024-10-07T00:00:00"/>
    <x v="0"/>
    <n v="5481"/>
    <n v="673"/>
    <n v="507970"/>
    <n v="13.08758391243577"/>
    <n v="29194"/>
  </r>
  <r>
    <d v="2024-10-14T00:00:00"/>
    <x v="1"/>
    <n v="8898"/>
    <n v="1131"/>
    <n v="515737"/>
    <n v="2.1877429775253669"/>
    <n v="35051"/>
  </r>
  <r>
    <d v="2024-10-14T00:00:00"/>
    <x v="2"/>
    <n v="7548"/>
    <n v="433"/>
    <n v="522852"/>
    <n v="8.3562843787534522"/>
    <n v="37386"/>
  </r>
  <r>
    <d v="2024-10-14T00:00:00"/>
    <x v="1"/>
    <n v="3293"/>
    <n v="282"/>
    <n v="525863"/>
    <n v="27.040693108281051"/>
    <n v="19518"/>
  </r>
  <r>
    <d v="2024-10-14T00:00:00"/>
    <x v="1"/>
    <n v="5837"/>
    <n v="359"/>
    <n v="531341"/>
    <n v="6.8073045370110723"/>
    <n v="56026"/>
  </r>
  <r>
    <d v="2024-10-21T00:00:00"/>
    <x v="0"/>
    <n v="8758"/>
    <n v="1193"/>
    <n v="538906"/>
    <n v="3.4213758985797149"/>
    <n v="26184"/>
  </r>
  <r>
    <d v="2024-10-21T00:00:00"/>
    <x v="2"/>
    <n v="7793"/>
    <n v="875"/>
    <n v="545824"/>
    <n v="5.5136820660139527"/>
    <n v="43787"/>
  </r>
  <r>
    <d v="2024-10-21T00:00:00"/>
    <x v="0"/>
    <n v="8638"/>
    <n v="717"/>
    <n v="553745"/>
    <n v="26.921416897669499"/>
    <n v="31621"/>
  </r>
  <r>
    <d v="2024-10-21T00:00:00"/>
    <x v="0"/>
    <n v="8993"/>
    <n v="506"/>
    <n v="562232"/>
    <n v="3.5131404829323132"/>
    <n v="20028"/>
  </r>
  <r>
    <d v="2024-10-28T00:00:00"/>
    <x v="2"/>
    <n v="7007"/>
    <n v="568"/>
    <n v="568671"/>
    <n v="11.50507059442103"/>
    <n v="22448"/>
  </r>
  <r>
    <d v="2024-10-28T00:00:00"/>
    <x v="2"/>
    <n v="6542"/>
    <n v="539"/>
    <n v="574674"/>
    <n v="6.4069368024305948"/>
    <n v="55253"/>
  </r>
  <r>
    <d v="2024-10-28T00:00:00"/>
    <x v="3"/>
    <n v="7356"/>
    <n v="904"/>
    <n v="581126"/>
    <n v="17.560907617280929"/>
    <n v="44051"/>
  </r>
  <r>
    <d v="2024-10-28T00:00:00"/>
    <x v="3"/>
    <n v="9433"/>
    <n v="1073"/>
    <n v="589486"/>
    <n v="7.2934726185185053"/>
    <n v="59811"/>
  </r>
  <r>
    <d v="2024-11-04T00:00:00"/>
    <x v="1"/>
    <n v="8380"/>
    <n v="1162"/>
    <n v="596704"/>
    <n v="18.05853488496809"/>
    <n v="40447"/>
  </r>
  <r>
    <d v="2024-11-04T00:00:00"/>
    <x v="2"/>
    <n v="3385"/>
    <n v="329"/>
    <n v="599760"/>
    <n v="17.61788048552755"/>
    <n v="28394"/>
  </r>
  <r>
    <d v="2024-11-04T00:00:00"/>
    <x v="3"/>
    <n v="5268"/>
    <n v="326"/>
    <n v="604702"/>
    <n v="23.435841125050029"/>
    <n v="44501"/>
  </r>
  <r>
    <d v="2024-11-04T00:00:00"/>
    <x v="1"/>
    <n v="1671"/>
    <n v="202"/>
    <n v="606171"/>
    <n v="15.150015424690389"/>
    <n v="40254"/>
  </r>
  <r>
    <d v="2024-11-11T00:00:00"/>
    <x v="1"/>
    <n v="1163"/>
    <n v="146"/>
    <n v="607188"/>
    <n v="21.77776899411715"/>
    <n v="28509"/>
  </r>
  <r>
    <d v="2024-11-11T00:00:00"/>
    <x v="1"/>
    <n v="9656"/>
    <n v="1024"/>
    <n v="615820"/>
    <n v="8.7252768666168681"/>
    <n v="58998"/>
  </r>
  <r>
    <d v="2024-11-11T00:00:00"/>
    <x v="3"/>
    <n v="5592"/>
    <n v="710"/>
    <n v="620702"/>
    <n v="9.07118069540617"/>
    <n v="24472"/>
  </r>
  <r>
    <d v="2024-11-11T00:00:00"/>
    <x v="2"/>
    <n v="5795"/>
    <n v="575"/>
    <n v="625922"/>
    <n v="3.0908004511744269"/>
    <n v="55657"/>
  </r>
  <r>
    <d v="2024-11-18T00:00:00"/>
    <x v="0"/>
    <n v="5798"/>
    <n v="592"/>
    <n v="631128"/>
    <n v="1.6774727155188811"/>
    <n v="13471"/>
  </r>
  <r>
    <d v="2024-11-18T00:00:00"/>
    <x v="1"/>
    <n v="7036"/>
    <n v="652"/>
    <n v="637512"/>
    <n v="3.5705994553828009"/>
    <n v="51796"/>
  </r>
  <r>
    <d v="2024-11-18T00:00:00"/>
    <x v="3"/>
    <n v="3355"/>
    <n v="176"/>
    <n v="640691"/>
    <n v="12.426427091999111"/>
    <n v="40268"/>
  </r>
  <r>
    <d v="2024-11-18T00:00:00"/>
    <x v="3"/>
    <n v="6887"/>
    <n v="418"/>
    <n v="647160"/>
    <n v="20.240280610668151"/>
    <n v="18329"/>
  </r>
  <r>
    <d v="2024-11-25T00:00:00"/>
    <x v="0"/>
    <n v="8961"/>
    <n v="476"/>
    <n v="655645"/>
    <n v="15.458517947974901"/>
    <n v="44865"/>
  </r>
  <r>
    <d v="2024-11-25T00:00:00"/>
    <x v="0"/>
    <n v="6827"/>
    <n v="775"/>
    <n v="661697"/>
    <n v="15.96622018839439"/>
    <n v="56850"/>
  </r>
  <r>
    <d v="2024-11-25T00:00:00"/>
    <x v="3"/>
    <n v="9737"/>
    <n v="792"/>
    <n v="670642"/>
    <n v="5.301785453341723"/>
    <n v="56698"/>
  </r>
  <r>
    <d v="2024-11-25T00:00:00"/>
    <x v="2"/>
    <n v="5719"/>
    <n v="576"/>
    <n v="675785"/>
    <n v="10.21656296011305"/>
    <n v="38272"/>
  </r>
  <r>
    <d v="2024-12-02T00:00:00"/>
    <x v="0"/>
    <n v="1593"/>
    <n v="224"/>
    <n v="677154"/>
    <n v="4.1495730660972248"/>
    <n v="52845"/>
  </r>
  <r>
    <d v="2024-12-02T00:00:00"/>
    <x v="3"/>
    <n v="5839"/>
    <n v="437"/>
    <n v="682556"/>
    <n v="17.44750613869045"/>
    <n v="16397"/>
  </r>
  <r>
    <d v="2024-12-02T00:00:00"/>
    <x v="0"/>
    <n v="8394"/>
    <n v="764"/>
    <n v="690186"/>
    <n v="6.3556780346167558"/>
    <n v="42373"/>
  </r>
  <r>
    <d v="2024-12-02T00:00:00"/>
    <x v="2"/>
    <n v="4493"/>
    <n v="564"/>
    <n v="694115"/>
    <n v="16.625487131094989"/>
    <n v="45525"/>
  </r>
  <r>
    <d v="2024-12-09T00:00:00"/>
    <x v="1"/>
    <n v="7164"/>
    <n v="522"/>
    <n v="700757"/>
    <n v="13.449169969047761"/>
    <n v="34570"/>
  </r>
  <r>
    <d v="2024-12-09T00:00:00"/>
    <x v="0"/>
    <n v="3672"/>
    <n v="211"/>
    <n v="704218"/>
    <n v="12.35057894004413"/>
    <n v="28284"/>
  </r>
  <r>
    <d v="2024-12-09T00:00:00"/>
    <x v="2"/>
    <n v="5200"/>
    <n v="410"/>
    <n v="709008"/>
    <n v="12.913394489201821"/>
    <n v="28994"/>
  </r>
  <r>
    <d v="2024-12-09T00:00:00"/>
    <x v="3"/>
    <n v="1016"/>
    <n v="67"/>
    <n v="709957"/>
    <n v="20.774215903216671"/>
    <n v="33284"/>
  </r>
  <r>
    <d v="2024-12-16T00:00:00"/>
    <x v="0"/>
    <n v="4191"/>
    <n v="599"/>
    <n v="713549"/>
    <n v="11.56416728213479"/>
    <n v="27833"/>
  </r>
  <r>
    <d v="2024-12-16T00:00:00"/>
    <x v="0"/>
    <n v="1392"/>
    <n v="182"/>
    <n v="714759"/>
    <n v="5.9603306848881932"/>
    <n v="35122"/>
  </r>
  <r>
    <d v="2024-12-16T00:00:00"/>
    <x v="3"/>
    <n v="9616"/>
    <n v="1089"/>
    <n v="723286"/>
    <n v="19.25863351426683"/>
    <n v="15017"/>
  </r>
  <r>
    <d v="2024-12-16T00:00:00"/>
    <x v="1"/>
    <n v="7272"/>
    <n v="997"/>
    <n v="729561"/>
    <n v="13.428486445958599"/>
    <n v="26370"/>
  </r>
  <r>
    <d v="2024-12-23T00:00:00"/>
    <x v="3"/>
    <n v="1571"/>
    <n v="204"/>
    <n v="730928"/>
    <n v="19.449384891535139"/>
    <n v="39252"/>
  </r>
  <r>
    <d v="2024-12-23T00:00:00"/>
    <x v="0"/>
    <n v="4631"/>
    <n v="317"/>
    <n v="735242"/>
    <n v="1.381177897889402"/>
    <n v="17999"/>
  </r>
  <r>
    <d v="2024-12-23T00:00:00"/>
    <x v="3"/>
    <n v="7172"/>
    <n v="998"/>
    <n v="741416"/>
    <n v="18.0667803230575"/>
    <n v="32436"/>
  </r>
  <r>
    <d v="2024-12-23T00:00:00"/>
    <x v="2"/>
    <n v="8177"/>
    <n v="849"/>
    <n v="748744"/>
    <n v="10.34986590877523"/>
    <n v="52963"/>
  </r>
  <r>
    <d v="2024-12-30T00:00:00"/>
    <x v="3"/>
    <n v="9433"/>
    <n v="1233"/>
    <n v="756944"/>
    <n v="11.391727789638329"/>
    <n v="12096"/>
  </r>
  <r>
    <d v="2024-12-30T00:00:00"/>
    <x v="0"/>
    <n v="4897"/>
    <n v="683"/>
    <n v="761158"/>
    <n v="15.06231294947961"/>
    <n v="58201"/>
  </r>
  <r>
    <d v="2024-12-30T00:00:00"/>
    <x v="3"/>
    <n v="9123"/>
    <n v="746"/>
    <n v="769535"/>
    <n v="6.3086149427901264"/>
    <n v="35279"/>
  </r>
  <r>
    <d v="2024-12-30T00:00:00"/>
    <x v="1"/>
    <n v="3279"/>
    <n v="200"/>
    <n v="772614"/>
    <n v="5.0212654702089274"/>
    <n v="53363"/>
  </r>
  <r>
    <d v="2025-01-06T00:00:00"/>
    <x v="3"/>
    <n v="9980"/>
    <n v="726"/>
    <n v="781868"/>
    <n v="4.0220344099003924"/>
    <n v="58709"/>
  </r>
  <r>
    <d v="2025-01-06T00:00:00"/>
    <x v="1"/>
    <n v="8451"/>
    <n v="783"/>
    <n v="789536"/>
    <n v="12.407287318121019"/>
    <n v="36201"/>
  </r>
  <r>
    <d v="2025-01-06T00:00:00"/>
    <x v="2"/>
    <n v="9906"/>
    <n v="1305"/>
    <n v="798137"/>
    <n v="9.1811305577864442"/>
    <n v="29715"/>
  </r>
  <r>
    <d v="2025-01-06T00:00:00"/>
    <x v="1"/>
    <n v="1775"/>
    <n v="241"/>
    <n v="799671"/>
    <n v="8.1379717408784362"/>
    <n v="39309"/>
  </r>
  <r>
    <d v="2025-01-13T00:00:00"/>
    <x v="3"/>
    <n v="7869"/>
    <n v="398"/>
    <n v="807142"/>
    <n v="15.211945357818079"/>
    <n v="25078"/>
  </r>
  <r>
    <d v="2025-01-13T00:00:00"/>
    <x v="0"/>
    <n v="3247"/>
    <n v="328"/>
    <n v="810061"/>
    <n v="13.941172331466399"/>
    <n v="15105"/>
  </r>
  <r>
    <d v="2025-01-13T00:00:00"/>
    <x v="1"/>
    <n v="8088"/>
    <n v="742"/>
    <n v="817407"/>
    <n v="14.664542877660701"/>
    <n v="39312"/>
  </r>
  <r>
    <d v="2025-01-13T00:00:00"/>
    <x v="2"/>
    <n v="1078"/>
    <n v="77"/>
    <n v="818408"/>
    <n v="18.236747441373989"/>
    <n v="12839"/>
  </r>
  <r>
    <d v="2025-01-20T00:00:00"/>
    <x v="1"/>
    <n v="9080"/>
    <n v="562"/>
    <n v="826926"/>
    <n v="7.1083748727213809"/>
    <n v="13384"/>
  </r>
  <r>
    <d v="2025-01-20T00:00:00"/>
    <x v="1"/>
    <n v="8099"/>
    <n v="678"/>
    <n v="834347"/>
    <n v="7.6464588474579518"/>
    <n v="53619"/>
  </r>
  <r>
    <d v="2025-01-20T00:00:00"/>
    <x v="1"/>
    <n v="4926"/>
    <n v="710"/>
    <n v="838563"/>
    <n v="12.96217457722318"/>
    <n v="52821"/>
  </r>
  <r>
    <d v="2025-01-20T00:00:00"/>
    <x v="2"/>
    <n v="8340"/>
    <n v="686"/>
    <n v="846217"/>
    <n v="7.201344336027284"/>
    <n v="23493"/>
  </r>
  <r>
    <d v="2025-01-27T00:00:00"/>
    <x v="3"/>
    <n v="8083"/>
    <n v="823"/>
    <n v="853477"/>
    <n v="4.6300017457998282"/>
    <n v="27069"/>
  </r>
  <r>
    <d v="2025-01-27T00:00:00"/>
    <x v="1"/>
    <n v="7230"/>
    <n v="869"/>
    <n v="859838"/>
    <n v="7.0117859410726204"/>
    <n v="56907"/>
  </r>
  <r>
    <d v="2025-01-27T00:00:00"/>
    <x v="1"/>
    <n v="5940"/>
    <n v="512"/>
    <n v="865266"/>
    <n v="15.7972230504839"/>
    <n v="17531"/>
  </r>
  <r>
    <d v="2025-01-27T00:00:00"/>
    <x v="0"/>
    <n v="4271"/>
    <n v="628"/>
    <n v="868909"/>
    <n v="11.124410036033691"/>
    <n v="47051"/>
  </r>
  <r>
    <d v="2025-02-03T00:00:00"/>
    <x v="2"/>
    <n v="4456"/>
    <n v="651"/>
    <n v="872714"/>
    <n v="9.5052903929580594"/>
    <n v="17736"/>
  </r>
  <r>
    <d v="2025-02-03T00:00:00"/>
    <x v="1"/>
    <n v="8788"/>
    <n v="660"/>
    <n v="880842"/>
    <n v="3.7175793161543158"/>
    <n v="17710"/>
  </r>
  <r>
    <d v="2025-02-03T00:00:00"/>
    <x v="2"/>
    <n v="9599"/>
    <n v="957"/>
    <n v="889484"/>
    <n v="8.768004820772493"/>
    <n v="11619"/>
  </r>
  <r>
    <d v="2025-02-03T00:00:00"/>
    <x v="1"/>
    <n v="8650"/>
    <n v="692"/>
    <n v="897442"/>
    <n v="7.6673478620345374"/>
    <n v="23975"/>
  </r>
  <r>
    <d v="2025-02-10T00:00:00"/>
    <x v="3"/>
    <n v="3711"/>
    <n v="291"/>
    <n v="900862"/>
    <n v="14.24879726306582"/>
    <n v="55603"/>
  </r>
  <r>
    <d v="2025-02-10T00:00:00"/>
    <x v="3"/>
    <n v="2668"/>
    <n v="143"/>
    <n v="903387"/>
    <n v="15.903372530266649"/>
    <n v="33252"/>
  </r>
  <r>
    <d v="2025-02-10T00:00:00"/>
    <x v="1"/>
    <n v="1147"/>
    <n v="127"/>
    <n v="904407"/>
    <n v="1.3997016829812241"/>
    <n v="25261"/>
  </r>
  <r>
    <d v="2025-02-10T00:00:00"/>
    <x v="3"/>
    <n v="7420"/>
    <n v="743"/>
    <n v="911084"/>
    <n v="10.593534734448189"/>
    <n v="11431"/>
  </r>
  <r>
    <d v="2025-02-17T00:00:00"/>
    <x v="1"/>
    <n v="1365"/>
    <n v="75"/>
    <n v="912374"/>
    <n v="9.2688963078737441"/>
    <n v="19067"/>
  </r>
  <r>
    <d v="2025-02-17T00:00:00"/>
    <x v="3"/>
    <n v="5531"/>
    <n v="430"/>
    <n v="917475"/>
    <n v="2.7289026948963189"/>
    <n v="47481"/>
  </r>
  <r>
    <d v="2025-02-17T00:00:00"/>
    <x v="0"/>
    <n v="6330"/>
    <n v="891"/>
    <n v="922914"/>
    <n v="14.789893749580139"/>
    <n v="37037"/>
  </r>
  <r>
    <d v="2025-02-17T00:00:00"/>
    <x v="0"/>
    <n v="6510"/>
    <n v="481"/>
    <n v="928943"/>
    <n v="2.3800168578696428"/>
    <n v="19557"/>
  </r>
  <r>
    <d v="2025-02-24T00:00:00"/>
    <x v="0"/>
    <n v="9754"/>
    <n v="629"/>
    <n v="938068"/>
    <n v="3.4123325814333292"/>
    <n v="19435"/>
  </r>
  <r>
    <d v="2025-02-24T00:00:00"/>
    <x v="2"/>
    <n v="9964"/>
    <n v="985"/>
    <n v="947047"/>
    <n v="1.9837452629066989"/>
    <n v="47766"/>
  </r>
  <r>
    <d v="2025-02-24T00:00:00"/>
    <x v="2"/>
    <n v="7493"/>
    <n v="1113"/>
    <n v="953427"/>
    <n v="15.684892498324469"/>
    <n v="10162"/>
  </r>
  <r>
    <d v="2025-02-24T00:00:00"/>
    <x v="0"/>
    <n v="6439"/>
    <n v="477"/>
    <n v="959389"/>
    <n v="7.4744446725989153"/>
    <n v="44742"/>
  </r>
  <r>
    <d v="2025-03-03T00:00:00"/>
    <x v="2"/>
    <n v="7511"/>
    <n v="880"/>
    <n v="966020"/>
    <n v="4.6083932009689246"/>
    <n v="29675"/>
  </r>
  <r>
    <d v="2025-03-03T00:00:00"/>
    <x v="3"/>
    <n v="8504"/>
    <n v="1072"/>
    <n v="973452"/>
    <n v="6.5651927367759271"/>
    <n v="18461"/>
  </r>
  <r>
    <d v="2025-03-03T00:00:00"/>
    <x v="1"/>
    <n v="2246"/>
    <n v="165"/>
    <n v="975533"/>
    <n v="2.9062061457685191"/>
    <n v="27015"/>
  </r>
  <r>
    <d v="2025-03-03T00:00:00"/>
    <x v="1"/>
    <n v="4839"/>
    <n v="594"/>
    <n v="979778"/>
    <n v="2.5803804535313102"/>
    <n v="42591"/>
  </r>
  <r>
    <d v="2025-03-10T00:00:00"/>
    <x v="1"/>
    <n v="9551"/>
    <n v="828"/>
    <n v="988501"/>
    <n v="1.525036393488727"/>
    <n v="38047"/>
  </r>
  <r>
    <d v="2025-03-10T00:00:00"/>
    <x v="0"/>
    <n v="3376"/>
    <n v="382"/>
    <n v="991495"/>
    <n v="3.8694093263203548"/>
    <n v="44782"/>
  </r>
  <r>
    <d v="2025-03-10T00:00:00"/>
    <x v="2"/>
    <n v="4009"/>
    <n v="454"/>
    <n v="995050"/>
    <n v="2.1106477061454201"/>
    <n v="19833"/>
  </r>
  <r>
    <d v="2025-03-10T00:00:00"/>
    <x v="3"/>
    <n v="2827"/>
    <n v="292"/>
    <n v="997585"/>
    <n v="2.4004972007397871"/>
    <n v="17896"/>
  </r>
  <r>
    <d v="2025-03-17T00:00:00"/>
    <x v="3"/>
    <n v="7979"/>
    <n v="470"/>
    <n v="1005094"/>
    <n v="10.43086517280971"/>
    <n v="42972"/>
  </r>
  <r>
    <d v="2025-03-17T00:00:00"/>
    <x v="0"/>
    <n v="9569"/>
    <n v="1277"/>
    <n v="1013386"/>
    <n v="12.45517502708741"/>
    <n v="59733"/>
  </r>
  <r>
    <d v="2025-03-17T00:00:00"/>
    <x v="3"/>
    <n v="5285"/>
    <n v="433"/>
    <n v="1018238"/>
    <n v="8.7022876773406619"/>
    <n v="51800"/>
  </r>
  <r>
    <d v="2025-03-17T00:00:00"/>
    <x v="3"/>
    <n v="7910"/>
    <n v="543"/>
    <n v="1025605"/>
    <n v="6.0590578244060822"/>
    <n v="40508"/>
  </r>
  <r>
    <d v="2025-03-24T00:00:00"/>
    <x v="3"/>
    <n v="9561"/>
    <n v="517"/>
    <n v="1034649"/>
    <n v="6.4086467971263694"/>
    <n v="15347"/>
  </r>
  <r>
    <d v="2025-03-24T00:00:00"/>
    <x v="3"/>
    <n v="3196"/>
    <n v="348"/>
    <n v="1037497"/>
    <n v="14.03040201562029"/>
    <n v="40314"/>
  </r>
  <r>
    <d v="2025-03-24T00:00:00"/>
    <x v="2"/>
    <n v="4747"/>
    <n v="558"/>
    <n v="1041686"/>
    <n v="5.7680529449373434"/>
    <n v="12643"/>
  </r>
  <r>
    <d v="2025-03-24T00:00:00"/>
    <x v="3"/>
    <n v="9843"/>
    <n v="508"/>
    <n v="1051021"/>
    <n v="4.2080986012648651"/>
    <n v="50785"/>
  </r>
  <r>
    <d v="2025-03-31T00:00:00"/>
    <x v="1"/>
    <n v="6978"/>
    <n v="706"/>
    <n v="1057293"/>
    <n v="5.057443868445171"/>
    <n v="28681"/>
  </r>
  <r>
    <d v="2025-03-31T00:00:00"/>
    <x v="0"/>
    <n v="6607"/>
    <n v="479"/>
    <n v="1063421"/>
    <n v="5.5892257158735816"/>
    <n v="48328"/>
  </r>
  <r>
    <d v="2025-03-31T00:00:00"/>
    <x v="2"/>
    <n v="1769"/>
    <n v="202"/>
    <n v="1064988"/>
    <n v="6.5457075572682513"/>
    <n v="25892"/>
  </r>
  <r>
    <d v="2025-03-31T00:00:00"/>
    <x v="3"/>
    <n v="1780"/>
    <n v="120"/>
    <n v="1066648"/>
    <n v="13.86474263299608"/>
    <n v="57299"/>
  </r>
  <r>
    <d v="2025-04-07T00:00:00"/>
    <x v="2"/>
    <n v="7303"/>
    <n v="869"/>
    <n v="1073082"/>
    <n v="8.1237966902808925"/>
    <n v="27073"/>
  </r>
  <r>
    <d v="2025-04-07T00:00:00"/>
    <x v="3"/>
    <n v="4983"/>
    <n v="441"/>
    <n v="1077624"/>
    <n v="6.8954477628560609"/>
    <n v="46768"/>
  </r>
  <r>
    <d v="2025-04-07T00:00:00"/>
    <x v="1"/>
    <n v="9714"/>
    <n v="1395"/>
    <n v="1085943"/>
    <n v="5.2243073531483697"/>
    <n v="40682"/>
  </r>
  <r>
    <d v="2025-04-07T00:00:00"/>
    <x v="0"/>
    <n v="1521"/>
    <n v="96"/>
    <n v="1087368"/>
    <n v="12.709772588488899"/>
    <n v="42262"/>
  </r>
  <r>
    <d v="2025-04-14T00:00:00"/>
    <x v="3"/>
    <n v="8569"/>
    <n v="720"/>
    <n v="1095217"/>
    <n v="9.589697749395782"/>
    <n v="41358"/>
  </r>
  <r>
    <d v="2025-04-14T00:00:00"/>
    <x v="3"/>
    <n v="6784"/>
    <n v="416"/>
    <n v="1101585"/>
    <n v="9.3041390360253633"/>
    <n v="24289"/>
  </r>
  <r>
    <d v="2025-04-14T00:00:00"/>
    <x v="3"/>
    <n v="5583"/>
    <n v="795"/>
    <n v="1106373"/>
    <n v="12.21550055903389"/>
    <n v="59823"/>
  </r>
  <r>
    <d v="2025-04-14T00:00:00"/>
    <x v="3"/>
    <n v="6946"/>
    <n v="956"/>
    <n v="1112363"/>
    <n v="1.64146056637986"/>
    <n v="17927"/>
  </r>
  <r>
    <d v="2025-04-21T00:00:00"/>
    <x v="0"/>
    <n v="5941"/>
    <n v="450"/>
    <n v="1117854"/>
    <n v="12.414411899944"/>
    <n v="58330"/>
  </r>
  <r>
    <d v="2025-04-21T00:00:00"/>
    <x v="0"/>
    <n v="7267"/>
    <n v="842"/>
    <n v="1124279"/>
    <n v="2.2102165031989389"/>
    <n v="11171"/>
  </r>
  <r>
    <d v="2025-04-21T00:00:00"/>
    <x v="1"/>
    <n v="8128"/>
    <n v="1070"/>
    <n v="1131337"/>
    <n v="8.1114645768679008"/>
    <n v="21918"/>
  </r>
  <r>
    <d v="2025-04-21T00:00:00"/>
    <x v="0"/>
    <n v="3461"/>
    <n v="365"/>
    <n v="1134433"/>
    <n v="10.23489267325616"/>
    <n v="51903"/>
  </r>
  <r>
    <d v="2025-04-28T00:00:00"/>
    <x v="3"/>
    <n v="1685"/>
    <n v="173"/>
    <n v="1135945"/>
    <n v="8.7776256772995165"/>
    <n v="49110"/>
  </r>
  <r>
    <d v="2025-04-28T00:00:00"/>
    <x v="1"/>
    <n v="3160"/>
    <n v="234"/>
    <n v="1138871"/>
    <n v="5.6959041015180816"/>
    <n v="21929"/>
  </r>
  <r>
    <d v="2025-04-28T00:00:00"/>
    <x v="1"/>
    <n v="8031"/>
    <n v="476"/>
    <n v="1146426"/>
    <n v="11.940413075069831"/>
    <n v="12539"/>
  </r>
  <r>
    <d v="2025-04-28T00:00:00"/>
    <x v="1"/>
    <n v="6341"/>
    <n v="885"/>
    <n v="1151882"/>
    <n v="6.3457020771224837"/>
    <n v="46727"/>
  </r>
  <r>
    <d v="2025-05-05T00:00:00"/>
    <x v="3"/>
    <n v="1038"/>
    <n v="145"/>
    <n v="1152775"/>
    <n v="11.093752033137431"/>
    <n v="55951"/>
  </r>
  <r>
    <d v="2025-05-05T00:00:00"/>
    <x v="2"/>
    <n v="5875"/>
    <n v="665"/>
    <n v="1157985"/>
    <n v="6.9871371390821126"/>
    <n v="32669"/>
  </r>
  <r>
    <d v="2025-05-05T00:00:00"/>
    <x v="3"/>
    <n v="2256"/>
    <n v="189"/>
    <n v="1160052"/>
    <n v="2.8935771844710412"/>
    <n v="15432"/>
  </r>
  <r>
    <d v="2025-05-05T00:00:00"/>
    <x v="0"/>
    <n v="8697"/>
    <n v="738"/>
    <n v="1168011"/>
    <n v="3.8777032065622672"/>
    <n v="30644"/>
  </r>
  <r>
    <d v="2025-05-12T00:00:00"/>
    <x v="0"/>
    <n v="3196"/>
    <n v="391"/>
    <n v="1170816"/>
    <n v="7.2439221876024931"/>
    <n v="28745"/>
  </r>
  <r>
    <d v="2025-05-12T00:00:00"/>
    <x v="3"/>
    <n v="8165"/>
    <n v="1140"/>
    <n v="1177841"/>
    <n v="9.095964565675672"/>
    <n v="38228"/>
  </r>
  <r>
    <d v="2025-05-12T00:00:00"/>
    <x v="3"/>
    <n v="1301"/>
    <n v="180"/>
    <n v="1178962"/>
    <n v="5.2275645864752214"/>
    <n v="44521"/>
  </r>
  <r>
    <d v="2025-05-12T00:00:00"/>
    <x v="1"/>
    <n v="8527"/>
    <n v="1091"/>
    <n v="1186398"/>
    <n v="1.676081719625286"/>
    <n v="41703"/>
  </r>
  <r>
    <m/>
    <x v="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d v="2024-06-03T00:00:00"/>
    <x v="0"/>
    <n v="4138"/>
    <n v="361"/>
    <n v="103777"/>
    <n v="56.637790647253247"/>
    <n v="23944"/>
    <n v="3.6395347716738774E-2"/>
  </r>
  <r>
    <d v="2024-06-03T00:00:00"/>
    <x v="1"/>
    <n v="8693"/>
    <n v="1261"/>
    <n v="111209"/>
    <n v="69.475492091467416"/>
    <n v="29873"/>
    <n v="6.6829123542159363E-2"/>
  </r>
  <r>
    <d v="2024-06-03T00:00:00"/>
    <x v="2"/>
    <n v="9264"/>
    <n v="1141"/>
    <n v="119332"/>
    <n v="92.312204605638044"/>
    <n v="50372"/>
    <n v="6.8070592967519189E-2"/>
  </r>
  <r>
    <d v="2024-06-03T00:00:00"/>
    <x v="2"/>
    <n v="8842"/>
    <n v="971"/>
    <n v="127203"/>
    <n v="16.351815601833291"/>
    <n v="33928"/>
    <n v="6.1877471443283573E-2"/>
  </r>
  <r>
    <d v="2024-06-10T00:00:00"/>
    <x v="0"/>
    <n v="7721"/>
    <n v="506"/>
    <n v="134418"/>
    <n v="35.577824398518047"/>
    <n v="25379"/>
    <n v="5.3675846984778827E-2"/>
  </r>
  <r>
    <d v="2024-06-10T00:00:00"/>
    <x v="2"/>
    <n v="8002"/>
    <n v="524"/>
    <n v="141896"/>
    <n v="52.064892597395271"/>
    <n v="46751"/>
    <n v="5.270056943113266E-2"/>
  </r>
  <r>
    <d v="2024-06-10T00:00:00"/>
    <x v="1"/>
    <n v="5225"/>
    <n v="291"/>
    <n v="146830"/>
    <n v="19.551862698358651"/>
    <n v="44546"/>
    <n v="3.3603487025812166E-2"/>
  </r>
  <r>
    <d v="2024-06-10T00:00:00"/>
    <x v="1"/>
    <n v="3978"/>
    <n v="543"/>
    <n v="150265"/>
    <n v="49.159817655475329"/>
    <n v="34286"/>
    <n v="2.2859614680730708E-2"/>
  </r>
  <r>
    <d v="2024-06-17T00:00:00"/>
    <x v="0"/>
    <n v="8373"/>
    <n v="921"/>
    <n v="157717"/>
    <n v="12.2263294381709"/>
    <n v="15110"/>
    <n v="4.7249186834646864E-2"/>
  </r>
  <r>
    <d v="2024-06-17T00:00:00"/>
    <x v="1"/>
    <n v="6907"/>
    <n v="834"/>
    <n v="163790"/>
    <n v="54.158984064961238"/>
    <n v="22087"/>
    <n v="3.7077965687770928E-2"/>
  </r>
  <r>
    <d v="2024-06-17T00:00:00"/>
    <x v="3"/>
    <n v="7097"/>
    <n v="369"/>
    <n v="170518"/>
    <n v="9.2506362964613711"/>
    <n v="33762"/>
    <n v="3.9456245088495059E-2"/>
  </r>
  <r>
    <d v="2024-06-17T00:00:00"/>
    <x v="0"/>
    <n v="6656"/>
    <n v="978"/>
    <n v="176196"/>
    <n v="60.425889350496043"/>
    <n v="27081"/>
    <n v="3.2225476174260484E-2"/>
  </r>
  <r>
    <d v="2024-06-24T00:00:00"/>
    <x v="1"/>
    <n v="9984"/>
    <n v="1330"/>
    <n v="184850"/>
    <n v="57.524479307546663"/>
    <n v="44947"/>
    <n v="4.6816337571003515E-2"/>
  </r>
  <r>
    <d v="2024-06-24T00:00:00"/>
    <x v="0"/>
    <n v="5259"/>
    <n v="374"/>
    <n v="189735"/>
    <n v="14.827522597306769"/>
    <n v="19596"/>
    <n v="2.5746435818378266E-2"/>
  </r>
  <r>
    <d v="2024-06-24T00:00:00"/>
    <x v="2"/>
    <n v="9286"/>
    <n v="633"/>
    <n v="198388"/>
    <n v="5.4343004617214756"/>
    <n v="48019"/>
    <n v="4.3616549388067825E-2"/>
  </r>
  <r>
    <d v="2024-06-24T00:00:00"/>
    <x v="1"/>
    <n v="6901"/>
    <n v="471"/>
    <n v="204818"/>
    <n v="60.827661631301943"/>
    <n v="52003"/>
    <n v="3.1393725160874533E-2"/>
  </r>
  <r>
    <d v="2024-07-01T00:00:00"/>
    <x v="3"/>
    <n v="5917"/>
    <n v="475"/>
    <n v="210260"/>
    <n v="17.894035955483691"/>
    <n v="28313"/>
    <n v="2.5882241034909159E-2"/>
  </r>
  <r>
    <d v="2024-07-01T00:00:00"/>
    <x v="1"/>
    <n v="9429"/>
    <n v="966"/>
    <n v="218723"/>
    <n v="7.6914636320825887"/>
    <n v="57639"/>
    <n v="3.8692775794040866E-2"/>
  </r>
  <r>
    <d v="2024-07-01T00:00:00"/>
    <x v="0"/>
    <n v="3530"/>
    <n v="328"/>
    <n v="221925"/>
    <n v="12.8372197814577"/>
    <n v="11013"/>
    <n v="1.4428297848372199E-2"/>
  </r>
  <r>
    <d v="2024-07-01T00:00:00"/>
    <x v="0"/>
    <n v="2960"/>
    <n v="234"/>
    <n v="224651"/>
    <n v="17.41278694508371"/>
    <n v="59378"/>
    <n v="1.213437732304775E-2"/>
  </r>
  <r>
    <d v="2024-07-08T00:00:00"/>
    <x v="1"/>
    <n v="8045"/>
    <n v="894"/>
    <n v="231802"/>
    <n v="47.634187798207087"/>
    <n v="33705"/>
    <n v="3.084960440375838E-2"/>
  </r>
  <r>
    <d v="2024-07-08T00:00:00"/>
    <x v="3"/>
    <n v="2048"/>
    <n v="130"/>
    <n v="233720"/>
    <n v="39.284614068115687"/>
    <n v="11828"/>
    <n v="8.2064008214958063E-3"/>
  </r>
  <r>
    <d v="2024-07-08T00:00:00"/>
    <x v="3"/>
    <n v="6772"/>
    <n v="536"/>
    <n v="239956"/>
    <n v="9.8205504342462788"/>
    <n v="17909"/>
    <n v="2.5988097817933289E-2"/>
  </r>
  <r>
    <d v="2024-07-08T00:00:00"/>
    <x v="3"/>
    <n v="3529"/>
    <n v="305"/>
    <n v="243180"/>
    <n v="41.606628834608109"/>
    <n v="48356"/>
    <n v="1.3257669216218439E-2"/>
  </r>
  <r>
    <d v="2024-07-15T00:00:00"/>
    <x v="0"/>
    <n v="3964"/>
    <n v="378"/>
    <n v="246766"/>
    <n v="13.6355899921383"/>
    <n v="23109"/>
    <n v="1.453198576789347E-2"/>
  </r>
  <r>
    <d v="2024-07-15T00:00:00"/>
    <x v="1"/>
    <n v="8137"/>
    <n v="1045"/>
    <n v="253858"/>
    <n v="20.47246886054408"/>
    <n v="12023"/>
    <n v="2.7936878097203948E-2"/>
  </r>
  <r>
    <d v="2024-07-15T00:00:00"/>
    <x v="2"/>
    <n v="1963"/>
    <n v="137"/>
    <n v="255684"/>
    <n v="11.2083665774941"/>
    <n v="24537"/>
    <n v="7.1416279469970747E-3"/>
  </r>
  <r>
    <d v="2024-07-15T00:00:00"/>
    <x v="0"/>
    <n v="1536"/>
    <n v="155"/>
    <n v="257065"/>
    <n v="12.15762550327738"/>
    <n v="36661"/>
    <n v="5.3721821329235798E-3"/>
  </r>
  <r>
    <d v="2024-07-22T00:00:00"/>
    <x v="3"/>
    <n v="8340"/>
    <n v="911"/>
    <n v="264494"/>
    <n v="37.302925586213682"/>
    <n v="48659"/>
    <n v="2.8087593669421613E-2"/>
  </r>
  <r>
    <d v="2024-07-22T00:00:00"/>
    <x v="1"/>
    <n v="8179"/>
    <n v="446"/>
    <n v="272227"/>
    <n v="41.82171496581897"/>
    <n v="43848"/>
    <n v="2.8406440213498294E-2"/>
  </r>
  <r>
    <d v="2024-07-22T00:00:00"/>
    <x v="3"/>
    <n v="8967"/>
    <n v="993"/>
    <n v="280201"/>
    <n v="52.792102811910027"/>
    <n v="47804"/>
    <n v="2.8458142547671136E-2"/>
  </r>
  <r>
    <d v="2024-07-22T00:00:00"/>
    <x v="2"/>
    <n v="9734"/>
    <n v="652"/>
    <n v="289283"/>
    <n v="49.647922622483861"/>
    <n v="25379"/>
    <n v="3.1394862470314533E-2"/>
  </r>
  <r>
    <d v="2024-07-29T00:00:00"/>
    <x v="3"/>
    <n v="1845"/>
    <n v="104"/>
    <n v="291024"/>
    <n v="28.158158777282971"/>
    <n v="37766"/>
    <n v="5.9823244818296775E-3"/>
  </r>
  <r>
    <d v="2024-07-29T00:00:00"/>
    <x v="3"/>
    <n v="6777"/>
    <n v="981"/>
    <n v="296820"/>
    <n v="23.920557913887201"/>
    <n v="53590"/>
    <n v="1.952698605215282E-2"/>
  </r>
  <r>
    <d v="2024-07-29T00:00:00"/>
    <x v="2"/>
    <n v="4036"/>
    <n v="591"/>
    <n v="300265"/>
    <n v="44.219272975538267"/>
    <n v="12563"/>
    <n v="1.1473198674504187E-2"/>
  </r>
  <r>
    <d v="2024-07-29T00:00:00"/>
    <x v="1"/>
    <n v="6947"/>
    <n v="908"/>
    <n v="306304"/>
    <n v="14.117673944839121"/>
    <n v="46060"/>
    <n v="1.9715707271207691E-2"/>
  </r>
  <r>
    <d v="2024-08-05T00:00:00"/>
    <x v="0"/>
    <n v="3494"/>
    <n v="281"/>
    <n v="309517"/>
    <n v="27.765518533715429"/>
    <n v="39197"/>
    <n v="1.0380689913639638E-2"/>
  </r>
  <r>
    <d v="2024-08-05T00:00:00"/>
    <x v="1"/>
    <n v="3719"/>
    <n v="222"/>
    <n v="313014"/>
    <n v="21.669318305251519"/>
    <n v="13586"/>
    <n v="1.1172024254506188E-2"/>
  </r>
  <r>
    <d v="2024-08-05T00:00:00"/>
    <x v="2"/>
    <n v="2884"/>
    <n v="341"/>
    <n v="315557"/>
    <n v="46.999749649033298"/>
    <n v="26087"/>
    <n v="8.058765928184131E-3"/>
  </r>
  <r>
    <d v="2024-08-05T00:00:00"/>
    <x v="3"/>
    <n v="5349"/>
    <n v="502"/>
    <n v="320404"/>
    <n v="5.2152906954969351"/>
    <n v="58868"/>
    <n v="1.5127776182569505E-2"/>
  </r>
  <r>
    <d v="2024-08-12T00:00:00"/>
    <x v="1"/>
    <n v="6179"/>
    <n v="384"/>
    <n v="326199"/>
    <n v="14.71218489327067"/>
    <n v="33225"/>
    <n v="1.7765229200580015E-2"/>
  </r>
  <r>
    <d v="2024-08-12T00:00:00"/>
    <x v="0"/>
    <n v="7610"/>
    <n v="757"/>
    <n v="333052"/>
    <n v="44.450416151231643"/>
    <n v="39750"/>
    <n v="2.0576366453286574E-2"/>
  </r>
  <r>
    <d v="2024-08-12T00:00:00"/>
    <x v="2"/>
    <n v="7430"/>
    <n v="397"/>
    <n v="340085"/>
    <n v="28.065042562888689"/>
    <n v="16643"/>
    <n v="2.0680124086625402E-2"/>
  </r>
  <r>
    <d v="2024-08-12T00:00:00"/>
    <x v="1"/>
    <n v="8154"/>
    <n v="1149"/>
    <n v="347090"/>
    <n v="26.003918292085629"/>
    <n v="37523"/>
    <n v="2.0182085338096747E-2"/>
  </r>
  <r>
    <d v="2024-08-19T00:00:00"/>
    <x v="0"/>
    <n v="7488"/>
    <n v="568"/>
    <n v="354010"/>
    <n v="13.47730290104799"/>
    <n v="46727"/>
    <n v="1.9547470410440384E-2"/>
  </r>
  <r>
    <d v="2024-08-19T00:00:00"/>
    <x v="2"/>
    <n v="5737"/>
    <n v="666"/>
    <n v="359081"/>
    <n v="4.6034181702735593"/>
    <n v="21005"/>
    <n v="1.4122161852061233E-2"/>
  </r>
  <r>
    <d v="2024-08-19T00:00:00"/>
    <x v="0"/>
    <n v="7525"/>
    <n v="610"/>
    <n v="365996"/>
    <n v="5.7694619613329108"/>
    <n v="53543"/>
    <n v="1.8893649110919244E-2"/>
  </r>
  <r>
    <d v="2024-08-19T00:00:00"/>
    <x v="2"/>
    <n v="4850"/>
    <n v="494"/>
    <n v="370352"/>
    <n v="20.46539508359615"/>
    <n v="10161"/>
    <n v="1.176178338445587E-2"/>
  </r>
  <r>
    <d v="2024-08-26T00:00:00"/>
    <x v="3"/>
    <n v="1689"/>
    <n v="176"/>
    <n v="371865"/>
    <n v="38.012181840183942"/>
    <n v="26029"/>
    <n v="4.068680838476329E-3"/>
  </r>
  <r>
    <d v="2024-08-26T00:00:00"/>
    <x v="1"/>
    <n v="6175"/>
    <n v="422"/>
    <n v="377618"/>
    <n v="37.86101298137271"/>
    <n v="59745"/>
    <n v="1.523497290913039E-2"/>
  </r>
  <r>
    <d v="2024-08-26T00:00:00"/>
    <x v="0"/>
    <n v="9648"/>
    <n v="1417"/>
    <n v="385849"/>
    <n v="3.6633501706626168"/>
    <n v="24226"/>
    <n v="2.1332179168534842E-2"/>
  </r>
  <r>
    <d v="2024-08-26T00:00:00"/>
    <x v="2"/>
    <n v="6078"/>
    <n v="775"/>
    <n v="391152"/>
    <n v="37.760512537325639"/>
    <n v="38731"/>
    <n v="1.3557389454738823E-2"/>
  </r>
  <r>
    <d v="2024-09-02T00:00:00"/>
    <x v="0"/>
    <n v="6448"/>
    <n v="928"/>
    <n v="396672"/>
    <n v="30.118586640851881"/>
    <n v="53922"/>
    <n v="1.3915779283639884E-2"/>
  </r>
  <r>
    <d v="2024-09-02T00:00:00"/>
    <x v="0"/>
    <n v="2179"/>
    <n v="303"/>
    <n v="398548"/>
    <n v="33.909842729106657"/>
    <n v="54848"/>
    <n v="4.7070867248110645E-3"/>
  </r>
  <r>
    <d v="2024-09-02T00:00:00"/>
    <x v="1"/>
    <n v="7406"/>
    <n v="813"/>
    <n v="405141"/>
    <n v="24.457411123534769"/>
    <n v="13390"/>
    <n v="1.6273346810122897E-2"/>
  </r>
  <r>
    <d v="2024-09-02T00:00:00"/>
    <x v="3"/>
    <n v="9591"/>
    <n v="1363"/>
    <n v="413369"/>
    <n v="10.494255737609739"/>
    <n v="15997"/>
    <n v="1.9904734026983156E-2"/>
  </r>
  <r>
    <d v="2024-09-09T00:00:00"/>
    <x v="0"/>
    <n v="7907"/>
    <n v="465"/>
    <n v="420811"/>
    <n v="33.257448118038738"/>
    <n v="22693"/>
    <n v="1.76848989213685E-2"/>
  </r>
  <r>
    <d v="2024-09-09T00:00:00"/>
    <x v="2"/>
    <n v="9800"/>
    <n v="682"/>
    <n v="429929"/>
    <n v="6.2966210699906267"/>
    <n v="59815"/>
    <n v="2.1208152974095722E-2"/>
  </r>
  <r>
    <d v="2024-09-09T00:00:00"/>
    <x v="2"/>
    <n v="2638"/>
    <n v="143"/>
    <n v="432424"/>
    <n v="6.9547481175882924"/>
    <n v="52092"/>
    <n v="5.7698000111002165E-3"/>
  </r>
  <r>
    <d v="2024-09-09T00:00:00"/>
    <x v="3"/>
    <n v="6671"/>
    <n v="550"/>
    <n v="438545"/>
    <n v="17.750287883797562"/>
    <n v="10541"/>
    <n v="1.3957518612685129E-2"/>
  </r>
  <r>
    <d v="2024-09-16T00:00:00"/>
    <x v="2"/>
    <n v="7928"/>
    <n v="704"/>
    <n v="445769"/>
    <n v="11.194362999670229"/>
    <n v="31817"/>
    <n v="1.6205702953772022E-2"/>
  </r>
  <r>
    <d v="2024-09-16T00:00:00"/>
    <x v="3"/>
    <n v="2382"/>
    <n v="183"/>
    <n v="447968"/>
    <n v="4.7335970426459033"/>
    <n v="47861"/>
    <n v="4.9088327737695546E-3"/>
  </r>
  <r>
    <d v="2024-09-16T00:00:00"/>
    <x v="2"/>
    <n v="2403"/>
    <n v="319"/>
    <n v="450052"/>
    <n v="29.92120910472568"/>
    <n v="23428"/>
    <n v="4.6305760223263092E-3"/>
  </r>
  <r>
    <d v="2024-09-16T00:00:00"/>
    <x v="1"/>
    <n v="4292"/>
    <n v="367"/>
    <n v="453977"/>
    <n v="3.5037017293827661"/>
    <n v="53934"/>
    <n v="8.6458124530537899E-3"/>
  </r>
  <r>
    <d v="2024-09-23T00:00:00"/>
    <x v="0"/>
    <n v="1419"/>
    <n v="110"/>
    <n v="455286"/>
    <n v="31.554451487636339"/>
    <n v="58831"/>
    <n v="2.8751158612388694E-3"/>
  </r>
  <r>
    <d v="2024-09-23T00:00:00"/>
    <x v="1"/>
    <n v="5517"/>
    <n v="575"/>
    <n v="460228"/>
    <n v="29.45844233727631"/>
    <n v="20258"/>
    <n v="1.07381558705685E-2"/>
  </r>
  <r>
    <d v="2024-09-23T00:00:00"/>
    <x v="0"/>
    <n v="4302"/>
    <n v="275"/>
    <n v="464255"/>
    <n v="15.72131694865968"/>
    <n v="26044"/>
    <n v="8.6741122874282456E-3"/>
  </r>
  <r>
    <d v="2024-09-23T00:00:00"/>
    <x v="0"/>
    <n v="8857"/>
    <n v="1153"/>
    <n v="471959"/>
    <n v="19.214592793018038"/>
    <n v="39411"/>
    <n v="1.6323451825264481E-2"/>
  </r>
  <r>
    <d v="2024-09-30T00:00:00"/>
    <x v="0"/>
    <n v="8870"/>
    <n v="509"/>
    <n v="480320"/>
    <n v="25.077864756828781"/>
    <n v="15469"/>
    <n v="1.7407145236508995E-2"/>
  </r>
  <r>
    <d v="2024-09-30T00:00:00"/>
    <x v="1"/>
    <n v="6693"/>
    <n v="995"/>
    <n v="486018"/>
    <n v="23.761877132122681"/>
    <n v="38854"/>
    <n v="1.1723845618886543E-2"/>
  </r>
  <r>
    <d v="2024-09-30T00:00:00"/>
    <x v="0"/>
    <n v="1767"/>
    <n v="224"/>
    <n v="487561"/>
    <n v="13.208603641390511"/>
    <n v="16256"/>
    <n v="3.1647322078673231E-3"/>
  </r>
  <r>
    <d v="2024-09-30T00:00:00"/>
    <x v="1"/>
    <n v="3044"/>
    <n v="212"/>
    <n v="490393"/>
    <n v="8.5343795690395261"/>
    <n v="20720"/>
    <n v="5.7749600830354431E-3"/>
  </r>
  <r>
    <d v="2024-10-07T00:00:00"/>
    <x v="3"/>
    <n v="2549"/>
    <n v="128"/>
    <n v="492814"/>
    <n v="12.734216154573531"/>
    <n v="43937"/>
    <n v="4.9126039438814641E-3"/>
  </r>
  <r>
    <d v="2024-10-07T00:00:00"/>
    <x v="2"/>
    <n v="7140"/>
    <n v="939"/>
    <n v="499015"/>
    <n v="25.120888149654821"/>
    <n v="43598"/>
    <n v="1.2426480165926877E-2"/>
  </r>
  <r>
    <d v="2024-10-07T00:00:00"/>
    <x v="2"/>
    <n v="4716"/>
    <n v="569"/>
    <n v="503162"/>
    <n v="25.64820077827817"/>
    <n v="11651"/>
    <n v="8.2418783612434963E-3"/>
  </r>
  <r>
    <d v="2024-10-07T00:00:00"/>
    <x v="0"/>
    <n v="5481"/>
    <n v="673"/>
    <n v="507970"/>
    <n v="13.08758391243577"/>
    <n v="29194"/>
    <n v="9.4651258932614123E-3"/>
  </r>
  <r>
    <d v="2024-10-14T00:00:00"/>
    <x v="1"/>
    <n v="8898"/>
    <n v="1131"/>
    <n v="515737"/>
    <n v="2.1877429775253669"/>
    <n v="35051"/>
    <n v="1.5060001512398761E-2"/>
  </r>
  <r>
    <d v="2024-10-14T00:00:00"/>
    <x v="2"/>
    <n v="7548"/>
    <n v="433"/>
    <n v="522852"/>
    <n v="8.3562843787534522"/>
    <n v="37386"/>
    <n v="1.3608057347012157E-2"/>
  </r>
  <r>
    <d v="2024-10-14T00:00:00"/>
    <x v="1"/>
    <n v="3293"/>
    <n v="282"/>
    <n v="525863"/>
    <n v="27.040693108281051"/>
    <n v="19518"/>
    <n v="5.7258259280458983E-3"/>
  </r>
  <r>
    <d v="2024-10-14T00:00:00"/>
    <x v="1"/>
    <n v="5837"/>
    <n v="359"/>
    <n v="531341"/>
    <n v="6.8073045370110723"/>
    <n v="56026"/>
    <n v="1.0309763409938251E-2"/>
  </r>
  <r>
    <d v="2024-10-21T00:00:00"/>
    <x v="0"/>
    <n v="8758"/>
    <n v="1193"/>
    <n v="538906"/>
    <n v="3.4213758985797149"/>
    <n v="26184"/>
    <n v="1.4037698596786824E-2"/>
  </r>
  <r>
    <d v="2024-10-21T00:00:00"/>
    <x v="2"/>
    <n v="7793"/>
    <n v="875"/>
    <n v="545824"/>
    <n v="5.5136820660139527"/>
    <n v="43787"/>
    <n v="1.267441519610717E-2"/>
  </r>
  <r>
    <d v="2024-10-21T00:00:00"/>
    <x v="0"/>
    <n v="8638"/>
    <n v="717"/>
    <n v="553745"/>
    <n v="26.921416897669499"/>
    <n v="31621"/>
    <n v="1.4304418098583283E-2"/>
  </r>
  <r>
    <d v="2024-10-21T00:00:00"/>
    <x v="0"/>
    <n v="8993"/>
    <n v="506"/>
    <n v="562232"/>
    <n v="3.5131404829323132"/>
    <n v="20028"/>
    <n v="1.509519202037593E-2"/>
  </r>
  <r>
    <d v="2024-10-28T00:00:00"/>
    <x v="2"/>
    <n v="7007"/>
    <n v="568"/>
    <n v="568671"/>
    <n v="11.50507059442103"/>
    <n v="22448"/>
    <n v="1.1322891443382905E-2"/>
  </r>
  <r>
    <d v="2024-10-28T00:00:00"/>
    <x v="2"/>
    <n v="6542"/>
    <n v="539"/>
    <n v="574674"/>
    <n v="6.4069368024305948"/>
    <n v="55253"/>
    <n v="1.0445922383821088E-2"/>
  </r>
  <r>
    <d v="2024-10-28T00:00:00"/>
    <x v="3"/>
    <n v="7356"/>
    <n v="904"/>
    <n v="581126"/>
    <n v="17.560907617280929"/>
    <n v="44051"/>
    <n v="1.1102583604932494E-2"/>
  </r>
  <r>
    <d v="2024-10-28T00:00:00"/>
    <x v="3"/>
    <n v="9433"/>
    <n v="1073"/>
    <n v="589486"/>
    <n v="7.2934726185185053"/>
    <n v="59811"/>
    <n v="1.4181846557848703E-2"/>
  </r>
  <r>
    <d v="2024-11-04T00:00:00"/>
    <x v="1"/>
    <n v="8380"/>
    <n v="1162"/>
    <n v="596704"/>
    <n v="18.05853488496809"/>
    <n v="40447"/>
    <n v="1.2096449831072022E-2"/>
  </r>
  <r>
    <d v="2024-11-04T00:00:00"/>
    <x v="2"/>
    <n v="3385"/>
    <n v="329"/>
    <n v="599760"/>
    <n v="17.61788048552755"/>
    <n v="28394"/>
    <n v="5.0953714819261036E-3"/>
  </r>
  <r>
    <d v="2024-11-04T00:00:00"/>
    <x v="3"/>
    <n v="5268"/>
    <n v="326"/>
    <n v="604702"/>
    <n v="23.435841125050029"/>
    <n v="44501"/>
    <n v="8.1726205635172366E-3"/>
  </r>
  <r>
    <d v="2024-11-04T00:00:00"/>
    <x v="1"/>
    <n v="1671"/>
    <n v="202"/>
    <n v="606171"/>
    <n v="15.150015424690389"/>
    <n v="40254"/>
    <n v="2.4234085761278583E-3"/>
  </r>
  <r>
    <d v="2024-11-11T00:00:00"/>
    <x v="1"/>
    <n v="1163"/>
    <n v="146"/>
    <n v="607188"/>
    <n v="21.77776899411715"/>
    <n v="28509"/>
    <n v="1.6749342872388782E-3"/>
  </r>
  <r>
    <d v="2024-11-11T00:00:00"/>
    <x v="1"/>
    <n v="9656"/>
    <n v="1024"/>
    <n v="615820"/>
    <n v="8.7252768666168681"/>
    <n v="58998"/>
    <n v="1.401708291383846E-2"/>
  </r>
  <r>
    <d v="2024-11-11T00:00:00"/>
    <x v="3"/>
    <n v="5592"/>
    <n v="710"/>
    <n v="620702"/>
    <n v="9.07118069540617"/>
    <n v="24472"/>
    <n v="7.8652880126050834E-3"/>
  </r>
  <r>
    <d v="2024-11-11T00:00:00"/>
    <x v="2"/>
    <n v="5795"/>
    <n v="575"/>
    <n v="625922"/>
    <n v="3.0908004511744269"/>
    <n v="55657"/>
    <n v="8.3396972785746461E-3"/>
  </r>
  <r>
    <d v="2024-11-18T00:00:00"/>
    <x v="0"/>
    <n v="5798"/>
    <n v="592"/>
    <n v="631128"/>
    <n v="1.6774727155188811"/>
    <n v="13471"/>
    <n v="8.2487229214992831E-3"/>
  </r>
  <r>
    <d v="2024-11-18T00:00:00"/>
    <x v="1"/>
    <n v="7036"/>
    <n v="652"/>
    <n v="637512"/>
    <n v="3.5705994553828009"/>
    <n v="51796"/>
    <n v="1.0013929149568949E-2"/>
  </r>
  <r>
    <d v="2024-11-18T00:00:00"/>
    <x v="3"/>
    <n v="3355"/>
    <n v="176"/>
    <n v="640691"/>
    <n v="12.426427091999111"/>
    <n v="40268"/>
    <n v="4.9618302738761748E-3"/>
  </r>
  <r>
    <d v="2024-11-18T00:00:00"/>
    <x v="3"/>
    <n v="6887"/>
    <n v="418"/>
    <n v="647160"/>
    <n v="20.240280610668151"/>
    <n v="18329"/>
    <n v="9.9959824463811114E-3"/>
  </r>
  <r>
    <d v="2024-11-25T00:00:00"/>
    <x v="0"/>
    <n v="8961"/>
    <n v="476"/>
    <n v="655645"/>
    <n v="15.458517947974901"/>
    <n v="44865"/>
    <n v="1.2941454598143812E-2"/>
  </r>
  <r>
    <d v="2024-11-25T00:00:00"/>
    <x v="0"/>
    <n v="6827"/>
    <n v="775"/>
    <n v="661697"/>
    <n v="15.96622018839439"/>
    <n v="56850"/>
    <n v="9.1461802003031598E-3"/>
  </r>
  <r>
    <d v="2024-11-25T00:00:00"/>
    <x v="3"/>
    <n v="9737"/>
    <n v="792"/>
    <n v="670642"/>
    <n v="5.301785453341723"/>
    <n v="56698"/>
    <n v="1.3337965710468476E-2"/>
  </r>
  <r>
    <d v="2024-11-25T00:00:00"/>
    <x v="2"/>
    <n v="5719"/>
    <n v="576"/>
    <n v="675785"/>
    <n v="10.21656296011305"/>
    <n v="38272"/>
    <n v="7.6104086358827145E-3"/>
  </r>
  <r>
    <d v="2024-12-02T00:00:00"/>
    <x v="0"/>
    <n v="1593"/>
    <n v="224"/>
    <n v="677154"/>
    <n v="4.1495730660972248"/>
    <n v="52845"/>
    <n v="2.0216966893793729E-3"/>
  </r>
  <r>
    <d v="2024-12-02T00:00:00"/>
    <x v="3"/>
    <n v="5839"/>
    <n v="437"/>
    <n v="682556"/>
    <n v="17.44750613869045"/>
    <n v="16397"/>
    <n v="7.9143689309009082E-3"/>
  </r>
  <r>
    <d v="2024-12-02T00:00:00"/>
    <x v="0"/>
    <n v="8394"/>
    <n v="764"/>
    <n v="690186"/>
    <n v="6.3556780346167558"/>
    <n v="42373"/>
    <n v="1.1054990973447738E-2"/>
  </r>
  <r>
    <d v="2024-12-02T00:00:00"/>
    <x v="2"/>
    <n v="4493"/>
    <n v="564"/>
    <n v="694115"/>
    <n v="16.625487131094989"/>
    <n v="45525"/>
    <n v="5.660445315257558E-3"/>
  </r>
  <r>
    <d v="2024-12-09T00:00:00"/>
    <x v="1"/>
    <n v="7164"/>
    <n v="522"/>
    <n v="700757"/>
    <n v="13.449169969047761"/>
    <n v="34570"/>
    <n v="9.4783213011072308E-3"/>
  </r>
  <r>
    <d v="2024-12-09T00:00:00"/>
    <x v="0"/>
    <n v="3672"/>
    <n v="211"/>
    <n v="704218"/>
    <n v="12.35057894004413"/>
    <n v="28284"/>
    <n v="4.9146713091684675E-3"/>
  </r>
  <r>
    <d v="2024-12-09T00:00:00"/>
    <x v="2"/>
    <n v="5200"/>
    <n v="410"/>
    <n v="709008"/>
    <n v="12.913394489201821"/>
    <n v="28994"/>
    <n v="6.7559181278631555E-3"/>
  </r>
  <r>
    <d v="2024-12-09T00:00:00"/>
    <x v="3"/>
    <n v="1016"/>
    <n v="67"/>
    <n v="709957"/>
    <n v="20.774215903216671"/>
    <n v="33284"/>
    <n v="1.3367006734210664E-3"/>
  </r>
  <r>
    <d v="2024-12-16T00:00:00"/>
    <x v="0"/>
    <n v="4191"/>
    <n v="599"/>
    <n v="713549"/>
    <n v="11.56416728213479"/>
    <n v="27833"/>
    <n v="5.033992059410076E-3"/>
  </r>
  <r>
    <d v="2024-12-16T00:00:00"/>
    <x v="0"/>
    <n v="1392"/>
    <n v="182"/>
    <n v="714759"/>
    <n v="5.9603306848881932"/>
    <n v="35122"/>
    <n v="1.6928782988391892E-3"/>
  </r>
  <r>
    <d v="2024-12-16T00:00:00"/>
    <x v="3"/>
    <n v="9616"/>
    <n v="1089"/>
    <n v="723286"/>
    <n v="19.25863351426683"/>
    <n v="15017"/>
    <n v="1.178925072516266E-2"/>
  </r>
  <r>
    <d v="2024-12-16T00:00:00"/>
    <x v="1"/>
    <n v="7272"/>
    <n v="997"/>
    <n v="729561"/>
    <n v="13.428486445958599"/>
    <n v="26370"/>
    <n v="8.6010628309353167E-3"/>
  </r>
  <r>
    <d v="2024-12-23T00:00:00"/>
    <x v="3"/>
    <n v="1571"/>
    <n v="204"/>
    <n v="730928"/>
    <n v="19.449384891535139"/>
    <n v="39252"/>
    <n v="1.8702252479040344E-3"/>
  </r>
  <r>
    <d v="2024-12-23T00:00:00"/>
    <x v="0"/>
    <n v="4631"/>
    <n v="317"/>
    <n v="735242"/>
    <n v="1.381177897889402"/>
    <n v="17999"/>
    <n v="5.8674558852731479E-3"/>
  </r>
  <r>
    <d v="2024-12-23T00:00:00"/>
    <x v="3"/>
    <n v="7172"/>
    <n v="998"/>
    <n v="741416"/>
    <n v="18.0667803230575"/>
    <n v="32436"/>
    <n v="8.32730882527488E-3"/>
  </r>
  <r>
    <d v="2024-12-23T00:00:00"/>
    <x v="2"/>
    <n v="8177"/>
    <n v="849"/>
    <n v="748744"/>
    <n v="10.34986590877523"/>
    <n v="52963"/>
    <n v="9.7870567243276748E-3"/>
  </r>
  <r>
    <d v="2024-12-30T00:00:00"/>
    <x v="3"/>
    <n v="9433"/>
    <n v="1233"/>
    <n v="756944"/>
    <n v="11.391727789638329"/>
    <n v="12096"/>
    <n v="1.0833033883616226E-2"/>
  </r>
  <r>
    <d v="2024-12-30T00:00:00"/>
    <x v="0"/>
    <n v="4897"/>
    <n v="683"/>
    <n v="761158"/>
    <n v="15.06231294947961"/>
    <n v="58201"/>
    <n v="5.5363012672795921E-3"/>
  </r>
  <r>
    <d v="2024-12-30T00:00:00"/>
    <x v="3"/>
    <n v="9123"/>
    <n v="746"/>
    <n v="769535"/>
    <n v="6.3086149427901264"/>
    <n v="35279"/>
    <n v="1.0885794668208723E-2"/>
  </r>
  <r>
    <d v="2024-12-30T00:00:00"/>
    <x v="1"/>
    <n v="3279"/>
    <n v="200"/>
    <n v="772614"/>
    <n v="5.0212654702089274"/>
    <n v="53363"/>
    <n v="3.9851724146857288E-3"/>
  </r>
  <r>
    <d v="2025-01-06T00:00:00"/>
    <x v="3"/>
    <n v="9980"/>
    <n v="726"/>
    <n v="781868"/>
    <n v="4.0220344099003924"/>
    <n v="58709"/>
    <n v="1.1835757442432739E-2"/>
  </r>
  <r>
    <d v="2025-01-06T00:00:00"/>
    <x v="1"/>
    <n v="8451"/>
    <n v="783"/>
    <n v="789536"/>
    <n v="12.407287318121019"/>
    <n v="36201"/>
    <n v="9.7120333968305442E-3"/>
  </r>
  <r>
    <d v="2025-01-06T00:00:00"/>
    <x v="2"/>
    <n v="9906"/>
    <n v="1305"/>
    <n v="798137"/>
    <n v="9.1811305577864442"/>
    <n v="29715"/>
    <n v="1.0776345414383746E-2"/>
  </r>
  <r>
    <d v="2025-01-06T00:00:00"/>
    <x v="1"/>
    <n v="1775"/>
    <n v="241"/>
    <n v="799671"/>
    <n v="8.1379717408784362"/>
    <n v="39309"/>
    <n v="1.918288896308607E-3"/>
  </r>
  <r>
    <d v="2025-01-13T00:00:00"/>
    <x v="3"/>
    <n v="7869"/>
    <n v="398"/>
    <n v="807142"/>
    <n v="15.211945357818079"/>
    <n v="25078"/>
    <n v="9.2561160241940079E-3"/>
  </r>
  <r>
    <d v="2025-01-13T00:00:00"/>
    <x v="0"/>
    <n v="3247"/>
    <n v="328"/>
    <n v="810061"/>
    <n v="13.941172331466399"/>
    <n v="15105"/>
    <n v="3.6034323341081723E-3"/>
  </r>
  <r>
    <d v="2025-01-13T00:00:00"/>
    <x v="1"/>
    <n v="8088"/>
    <n v="742"/>
    <n v="817407"/>
    <n v="14.664542877660701"/>
    <n v="39312"/>
    <n v="8.9869550909155421E-3"/>
  </r>
  <r>
    <d v="2025-01-13T00:00:00"/>
    <x v="2"/>
    <n v="1078"/>
    <n v="77"/>
    <n v="818408"/>
    <n v="18.236747441373989"/>
    <n v="12839"/>
    <n v="1.2231063234963489E-3"/>
  </r>
  <r>
    <d v="2025-01-20T00:00:00"/>
    <x v="1"/>
    <n v="9080"/>
    <n v="562"/>
    <n v="826926"/>
    <n v="7.1083748727213809"/>
    <n v="13384"/>
    <n v="1.0300800797169276E-2"/>
  </r>
  <r>
    <d v="2025-01-20T00:00:00"/>
    <x v="1"/>
    <n v="8099"/>
    <n v="678"/>
    <n v="834347"/>
    <n v="7.6464588474579518"/>
    <n v="53619"/>
    <n v="8.8943808751035247E-3"/>
  </r>
  <r>
    <d v="2025-01-20T00:00:00"/>
    <x v="1"/>
    <n v="4926"/>
    <n v="710"/>
    <n v="838563"/>
    <n v="12.96217457722318"/>
    <n v="52821"/>
    <n v="5.0276484891415433E-3"/>
  </r>
  <r>
    <d v="2025-01-20T00:00:00"/>
    <x v="2"/>
    <n v="8340"/>
    <n v="686"/>
    <n v="846217"/>
    <n v="7.201344336027284"/>
    <n v="23493"/>
    <n v="9.0449612806171465E-3"/>
  </r>
  <r>
    <d v="2025-01-27T00:00:00"/>
    <x v="3"/>
    <n v="8083"/>
    <n v="823"/>
    <n v="853477"/>
    <n v="4.6300017457998282"/>
    <n v="27069"/>
    <n v="8.5063803711172073E-3"/>
  </r>
  <r>
    <d v="2025-01-27T00:00:00"/>
    <x v="1"/>
    <n v="7230"/>
    <n v="869"/>
    <n v="859838"/>
    <n v="7.0117859410726204"/>
    <n v="56907"/>
    <n v="7.397905186791E-3"/>
  </r>
  <r>
    <d v="2025-01-27T00:00:00"/>
    <x v="1"/>
    <n v="5940"/>
    <n v="512"/>
    <n v="865266"/>
    <n v="15.7972230504839"/>
    <n v="17531"/>
    <n v="6.2732154042803023E-3"/>
  </r>
  <r>
    <d v="2025-01-27T00:00:00"/>
    <x v="0"/>
    <n v="4271"/>
    <n v="628"/>
    <n v="868909"/>
    <n v="11.124410036033691"/>
    <n v="47051"/>
    <n v="4.1926139561219876E-3"/>
  </r>
  <r>
    <d v="2025-02-03T00:00:00"/>
    <x v="2"/>
    <n v="4456"/>
    <n v="651"/>
    <n v="872714"/>
    <n v="9.5052903929580594"/>
    <n v="17736"/>
    <n v="4.3599621410908961E-3"/>
  </r>
  <r>
    <d v="2025-02-03T00:00:00"/>
    <x v="1"/>
    <n v="8788"/>
    <n v="660"/>
    <n v="880842"/>
    <n v="3.7175793161543158"/>
    <n v="17710"/>
    <n v="9.2275345635199051E-3"/>
  </r>
  <r>
    <d v="2025-02-03T00:00:00"/>
    <x v="2"/>
    <n v="9599"/>
    <n v="957"/>
    <n v="889484"/>
    <n v="8.768004820772493"/>
    <n v="11619"/>
    <n v="9.7157453085159485E-3"/>
  </r>
  <r>
    <d v="2025-02-03T00:00:00"/>
    <x v="1"/>
    <n v="8650"/>
    <n v="692"/>
    <n v="897442"/>
    <n v="7.6673478620345374"/>
    <n v="23975"/>
    <n v="8.8674254157928862E-3"/>
  </r>
  <r>
    <d v="2025-02-10T00:00:00"/>
    <x v="3"/>
    <n v="3711"/>
    <n v="291"/>
    <n v="900862"/>
    <n v="14.24879726306582"/>
    <n v="55603"/>
    <n v="3.7963639269943676E-3"/>
  </r>
  <r>
    <d v="2025-02-10T00:00:00"/>
    <x v="3"/>
    <n v="2668"/>
    <n v="143"/>
    <n v="903387"/>
    <n v="15.903372530266649"/>
    <n v="33252"/>
    <n v="2.795036900021807E-3"/>
  </r>
  <r>
    <d v="2025-02-10T00:00:00"/>
    <x v="1"/>
    <n v="1147"/>
    <n v="127"/>
    <n v="904407"/>
    <n v="1.3997016829812241"/>
    <n v="25261"/>
    <n v="1.1278108196862695E-3"/>
  </r>
  <r>
    <d v="2025-02-10T00:00:00"/>
    <x v="3"/>
    <n v="7420"/>
    <n v="743"/>
    <n v="911084"/>
    <n v="10.593534734448189"/>
    <n v="11431"/>
    <n v="7.3286327056561193E-3"/>
  </r>
  <r>
    <d v="2025-02-17T00:00:00"/>
    <x v="1"/>
    <n v="1365"/>
    <n v="75"/>
    <n v="912374"/>
    <n v="9.2688963078737441"/>
    <n v="19067"/>
    <n v="1.4138938637006315E-3"/>
  </r>
  <r>
    <d v="2025-02-17T00:00:00"/>
    <x v="3"/>
    <n v="5531"/>
    <n v="430"/>
    <n v="917475"/>
    <n v="2.7289026948963189"/>
    <n v="47481"/>
    <n v="5.5598245183792472E-3"/>
  </r>
  <r>
    <d v="2025-02-17T00:00:00"/>
    <x v="0"/>
    <n v="6330"/>
    <n v="891"/>
    <n v="922914"/>
    <n v="14.789893749580139"/>
    <n v="37037"/>
    <n v="5.8932901657142486E-3"/>
  </r>
  <r>
    <d v="2025-02-17T00:00:00"/>
    <x v="0"/>
    <n v="6510"/>
    <n v="481"/>
    <n v="928943"/>
    <n v="2.3800168578696428"/>
    <n v="19557"/>
    <n v="6.4901721634158397E-3"/>
  </r>
  <r>
    <d v="2025-02-24T00:00:00"/>
    <x v="0"/>
    <n v="9754"/>
    <n v="629"/>
    <n v="938068"/>
    <n v="3.4123325814333292"/>
    <n v="19435"/>
    <n v="9.7274398018054129E-3"/>
  </r>
  <r>
    <d v="2025-02-24T00:00:00"/>
    <x v="2"/>
    <n v="9964"/>
    <n v="985"/>
    <n v="947047"/>
    <n v="1.9837452629066989"/>
    <n v="47766"/>
    <n v="9.4810500429228957E-3"/>
  </r>
  <r>
    <d v="2025-02-24T00:00:00"/>
    <x v="2"/>
    <n v="7493"/>
    <n v="1113"/>
    <n v="953427"/>
    <n v="15.684892498324469"/>
    <n v="10162"/>
    <n v="6.6916502259743013E-3"/>
  </r>
  <r>
    <d v="2025-02-24T00:00:00"/>
    <x v="0"/>
    <n v="6439"/>
    <n v="477"/>
    <n v="959389"/>
    <n v="7.4744446725989153"/>
    <n v="44742"/>
    <n v="6.2143718554204808E-3"/>
  </r>
  <r>
    <d v="2025-03-03T00:00:00"/>
    <x v="2"/>
    <n v="7511"/>
    <n v="880"/>
    <n v="966020"/>
    <n v="4.6083932009689246"/>
    <n v="29675"/>
    <n v="6.8642471170369144E-3"/>
  </r>
  <r>
    <d v="2025-03-03T00:00:00"/>
    <x v="3"/>
    <n v="8504"/>
    <n v="1072"/>
    <n v="973452"/>
    <n v="6.5651927367759271"/>
    <n v="18461"/>
    <n v="7.6346856342171983E-3"/>
  </r>
  <r>
    <d v="2025-03-03T00:00:00"/>
    <x v="1"/>
    <n v="2246"/>
    <n v="165"/>
    <n v="975533"/>
    <n v="2.9062061457685191"/>
    <n v="27015"/>
    <n v="2.1331928289458173E-3"/>
  </r>
  <r>
    <d v="2025-03-03T00:00:00"/>
    <x v="1"/>
    <n v="4839"/>
    <n v="594"/>
    <n v="979778"/>
    <n v="2.5803804535313102"/>
    <n v="42591"/>
    <n v="4.3326141227910814E-3"/>
  </r>
  <r>
    <d v="2025-03-10T00:00:00"/>
    <x v="1"/>
    <n v="9551"/>
    <n v="828"/>
    <n v="988501"/>
    <n v="1.525036393488727"/>
    <n v="38047"/>
    <n v="8.8244726105487E-3"/>
  </r>
  <r>
    <d v="2025-03-10T00:00:00"/>
    <x v="0"/>
    <n v="3376"/>
    <n v="382"/>
    <n v="991495"/>
    <n v="3.8694093263203548"/>
    <n v="44782"/>
    <n v="3.0196823988018094E-3"/>
  </r>
  <r>
    <d v="2025-03-10T00:00:00"/>
    <x v="2"/>
    <n v="4009"/>
    <n v="454"/>
    <n v="995050"/>
    <n v="2.1106477061454201"/>
    <n v="19833"/>
    <n v="3.5726847897090599E-3"/>
  </r>
  <r>
    <d v="2025-03-10T00:00:00"/>
    <x v="3"/>
    <n v="2827"/>
    <n v="292"/>
    <n v="997585"/>
    <n v="2.4004972007397871"/>
    <n v="17896"/>
    <n v="2.5411368454818384E-3"/>
  </r>
  <r>
    <d v="2025-03-17T00:00:00"/>
    <x v="3"/>
    <n v="7979"/>
    <n v="470"/>
    <n v="1005094"/>
    <n v="10.43086517280971"/>
    <n v="42972"/>
    <n v="7.4709430162750948E-3"/>
  </r>
  <r>
    <d v="2025-03-17T00:00:00"/>
    <x v="0"/>
    <n v="9569"/>
    <n v="1277"/>
    <n v="1013386"/>
    <n v="12.45517502708741"/>
    <n v="59733"/>
    <n v="8.1824694637581338E-3"/>
  </r>
  <r>
    <d v="2025-03-17T00:00:00"/>
    <x v="3"/>
    <n v="5285"/>
    <n v="433"/>
    <n v="1018238"/>
    <n v="8.7022876773406619"/>
    <n v="51800"/>
    <n v="4.7650942117658151E-3"/>
  </r>
  <r>
    <d v="2025-03-17T00:00:00"/>
    <x v="3"/>
    <n v="7910"/>
    <n v="543"/>
    <n v="1025605"/>
    <n v="6.0590578244060822"/>
    <n v="40508"/>
    <n v="7.183077305590359E-3"/>
  </r>
  <r>
    <d v="2025-03-24T00:00:00"/>
    <x v="3"/>
    <n v="9561"/>
    <n v="517"/>
    <n v="1034649"/>
    <n v="6.4086467971263694"/>
    <n v="15347"/>
    <n v="8.741128633961856E-3"/>
  </r>
  <r>
    <d v="2025-03-24T00:00:00"/>
    <x v="3"/>
    <n v="3196"/>
    <n v="348"/>
    <n v="1037497"/>
    <n v="14.03040201562029"/>
    <n v="40314"/>
    <n v="2.7450681785103955E-3"/>
  </r>
  <r>
    <d v="2025-03-24T00:00:00"/>
    <x v="2"/>
    <n v="4747"/>
    <n v="558"/>
    <n v="1041686"/>
    <n v="5.7680529449373434"/>
    <n v="12643"/>
    <n v="4.021365363458854E-3"/>
  </r>
  <r>
    <d v="2025-03-24T00:00:00"/>
    <x v="3"/>
    <n v="9843"/>
    <n v="508"/>
    <n v="1051021"/>
    <n v="4.2080986012648651"/>
    <n v="50785"/>
    <n v="8.8818396587699005E-3"/>
  </r>
  <r>
    <d v="2025-03-31T00:00:00"/>
    <x v="1"/>
    <n v="6978"/>
    <n v="706"/>
    <n v="1057293"/>
    <n v="5.057443868445171"/>
    <n v="28681"/>
    <n v="5.9321304501212058E-3"/>
  </r>
  <r>
    <d v="2025-03-31T00:00:00"/>
    <x v="0"/>
    <n v="6607"/>
    <n v="479"/>
    <n v="1063421"/>
    <n v="5.5892257158735816"/>
    <n v="48328"/>
    <n v="5.7625343114345116E-3"/>
  </r>
  <r>
    <d v="2025-03-31T00:00:00"/>
    <x v="2"/>
    <n v="1769"/>
    <n v="202"/>
    <n v="1064988"/>
    <n v="6.5457075572682513"/>
    <n v="25892"/>
    <n v="1.4713780812553757E-3"/>
  </r>
  <r>
    <d v="2025-03-31T00:00:00"/>
    <x v="3"/>
    <n v="1780"/>
    <n v="120"/>
    <n v="1066648"/>
    <n v="13.86474263299608"/>
    <n v="57299"/>
    <n v="1.55627723485161E-3"/>
  </r>
  <r>
    <d v="2025-04-07T00:00:00"/>
    <x v="2"/>
    <n v="7303"/>
    <n v="869"/>
    <n v="1073082"/>
    <n v="8.1237966902808925"/>
    <n v="27073"/>
    <n v="5.9958139266151145E-3"/>
  </r>
  <r>
    <d v="2025-04-07T00:00:00"/>
    <x v="3"/>
    <n v="4983"/>
    <n v="441"/>
    <n v="1077624"/>
    <n v="6.8954477628560609"/>
    <n v="46768"/>
    <n v="4.2148281775461569E-3"/>
  </r>
  <r>
    <d v="2025-04-07T00:00:00"/>
    <x v="1"/>
    <n v="9714"/>
    <n v="1395"/>
    <n v="1085943"/>
    <n v="5.2243073531483697"/>
    <n v="40682"/>
    <n v="7.6606230713766746E-3"/>
  </r>
  <r>
    <d v="2025-04-07T00:00:00"/>
    <x v="0"/>
    <n v="1521"/>
    <n v="96"/>
    <n v="1087368"/>
    <n v="12.709772588488899"/>
    <n v="42262"/>
    <n v="1.3105038956452645E-3"/>
  </r>
  <r>
    <d v="2025-04-14T00:00:00"/>
    <x v="3"/>
    <n v="8569"/>
    <n v="720"/>
    <n v="1095217"/>
    <n v="9.589697749395782"/>
    <n v="41358"/>
    <n v="7.1666162961312686E-3"/>
  </r>
  <r>
    <d v="2025-04-14T00:00:00"/>
    <x v="3"/>
    <n v="6784"/>
    <n v="416"/>
    <n v="1101585"/>
    <n v="9.3041390360253633"/>
    <n v="24289"/>
    <n v="5.7807613574985131E-3"/>
  </r>
  <r>
    <d v="2025-04-14T00:00:00"/>
    <x v="3"/>
    <n v="5583"/>
    <n v="795"/>
    <n v="1106373"/>
    <n v="12.21550055903389"/>
    <n v="59823"/>
    <n v="4.327654416729259E-3"/>
  </r>
  <r>
    <d v="2025-04-14T00:00:00"/>
    <x v="3"/>
    <n v="6946"/>
    <n v="956"/>
    <n v="1112363"/>
    <n v="1.64146056637986"/>
    <n v="17927"/>
    <n v="5.3849327962185002E-3"/>
  </r>
  <r>
    <d v="2025-04-21T00:00:00"/>
    <x v="0"/>
    <n v="5941"/>
    <n v="450"/>
    <n v="1117854"/>
    <n v="12.414411899944"/>
    <n v="58330"/>
    <n v="4.9120904876665469E-3"/>
  </r>
  <r>
    <d v="2025-04-21T00:00:00"/>
    <x v="0"/>
    <n v="7267"/>
    <n v="842"/>
    <n v="1124279"/>
    <n v="2.2102165031989389"/>
    <n v="11171"/>
    <n v="5.7147736460433753E-3"/>
  </r>
  <r>
    <d v="2025-04-21T00:00:00"/>
    <x v="1"/>
    <n v="8128"/>
    <n v="1070"/>
    <n v="1131337"/>
    <n v="8.1114645768679008"/>
    <n v="21918"/>
    <n v="6.2386362330587612E-3"/>
  </r>
  <r>
    <d v="2025-04-21T00:00:00"/>
    <x v="0"/>
    <n v="3461"/>
    <n v="365"/>
    <n v="1134433"/>
    <n v="10.23489267325616"/>
    <n v="51903"/>
    <n v="2.7291166600407427E-3"/>
  </r>
  <r>
    <d v="2025-04-28T00:00:00"/>
    <x v="3"/>
    <n v="1685"/>
    <n v="173"/>
    <n v="1135945"/>
    <n v="8.7776256772995165"/>
    <n v="49110"/>
    <n v="1.331050358952238E-3"/>
  </r>
  <r>
    <d v="2025-04-28T00:00:00"/>
    <x v="1"/>
    <n v="3160"/>
    <n v="234"/>
    <n v="1138871"/>
    <n v="5.6959041015180816"/>
    <n v="21929"/>
    <n v="2.5692110871204906E-3"/>
  </r>
  <r>
    <d v="2025-04-28T00:00:00"/>
    <x v="1"/>
    <n v="8031"/>
    <n v="476"/>
    <n v="1146426"/>
    <n v="11.940413075069831"/>
    <n v="12539"/>
    <n v="6.5900459340594159E-3"/>
  </r>
  <r>
    <d v="2025-04-28T00:00:00"/>
    <x v="1"/>
    <n v="6341"/>
    <n v="885"/>
    <n v="1151882"/>
    <n v="6.3457020771224837"/>
    <n v="46727"/>
    <n v="4.7365962832998515E-3"/>
  </r>
  <r>
    <d v="2025-05-05T00:00:00"/>
    <x v="3"/>
    <n v="1038"/>
    <n v="145"/>
    <n v="1152775"/>
    <n v="11.093752033137431"/>
    <n v="55951"/>
    <n v="7.7465246904209403E-4"/>
  </r>
  <r>
    <d v="2025-05-05T00:00:00"/>
    <x v="2"/>
    <n v="5875"/>
    <n v="665"/>
    <n v="1157985"/>
    <n v="6.9871371390821126"/>
    <n v="32669"/>
    <n v="4.4991947218659999E-3"/>
  </r>
  <r>
    <d v="2025-05-05T00:00:00"/>
    <x v="3"/>
    <n v="2256"/>
    <n v="189"/>
    <n v="1160052"/>
    <n v="2.8935771844710412"/>
    <n v="15432"/>
    <n v="1.7818166771834366E-3"/>
  </r>
  <r>
    <d v="2025-05-05T00:00:00"/>
    <x v="0"/>
    <n v="8697"/>
    <n v="738"/>
    <n v="1168011"/>
    <n v="3.8777032065622672"/>
    <n v="30644"/>
    <n v="6.8141481544266276E-3"/>
  </r>
  <r>
    <d v="2025-05-12T00:00:00"/>
    <x v="0"/>
    <n v="3196"/>
    <n v="391"/>
    <n v="1170816"/>
    <n v="7.2439221876024931"/>
    <n v="28745"/>
    <n v="2.3957650049196456E-3"/>
  </r>
  <r>
    <d v="2025-05-12T00:00:00"/>
    <x v="3"/>
    <n v="8165"/>
    <n v="1140"/>
    <n v="1177841"/>
    <n v="9.095964565675672"/>
    <n v="38228"/>
    <n v="5.9643024822535473E-3"/>
  </r>
  <r>
    <d v="2025-05-12T00:00:00"/>
    <x v="3"/>
    <n v="1301"/>
    <n v="180"/>
    <n v="1178962"/>
    <n v="5.2275645864752214"/>
    <n v="44521"/>
    <n v="9.5083641372665107E-4"/>
  </r>
  <r>
    <d v="2025-05-12T00:00:00"/>
    <x v="1"/>
    <n v="8527"/>
    <n v="1091"/>
    <n v="1186398"/>
    <n v="1.676081719625286"/>
    <n v="41703"/>
    <n v="6.267711172810473E-3"/>
  </r>
  <r>
    <m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778C7-D091-41B3-9488-4145C91F398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axis="axisRow" showAll="0" sortType="descending">
      <items count="6">
        <item x="0"/>
        <item x="3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Engagement_Rate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FC9B1-AB2B-4620-B91E-CFAEA5FF518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axis="axisRow" showAll="0" sortType="descending">
      <items count="6">
        <item x="0"/>
        <item x="3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Net_Growth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C1AE4-8238-4E3C-A382-6AA634DD9E9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8"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/>
    <dataField name="Average of Ad_Spend" fld="6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2DEA-E157-4D83-88A2-FD2C4030BAA9}">
  <dimension ref="A3:B10"/>
  <sheetViews>
    <sheetView workbookViewId="0">
      <selection activeCell="F17" sqref="F17"/>
    </sheetView>
  </sheetViews>
  <sheetFormatPr defaultRowHeight="14.4" x14ac:dyDescent="0.3"/>
  <cols>
    <col min="1" max="1" width="12.44140625" bestFit="1" customWidth="1"/>
    <col min="2" max="2" width="24.77734375" bestFit="1" customWidth="1"/>
  </cols>
  <sheetData>
    <row r="3" spans="1:2" x14ac:dyDescent="0.3">
      <c r="A3" s="11" t="s">
        <v>11</v>
      </c>
      <c r="B3" t="s">
        <v>13</v>
      </c>
    </row>
    <row r="4" spans="1:2" x14ac:dyDescent="0.3">
      <c r="A4" s="8" t="s">
        <v>9</v>
      </c>
      <c r="B4">
        <v>17.599262914182141</v>
      </c>
    </row>
    <row r="5" spans="1:2" x14ac:dyDescent="0.3">
      <c r="A5" s="8" t="s">
        <v>8</v>
      </c>
      <c r="B5">
        <v>17.480513118999934</v>
      </c>
    </row>
    <row r="6" spans="1:2" x14ac:dyDescent="0.3">
      <c r="A6" s="8" t="s">
        <v>7</v>
      </c>
      <c r="B6">
        <v>15.559291798886182</v>
      </c>
    </row>
    <row r="7" spans="1:2" x14ac:dyDescent="0.3">
      <c r="A7" s="8" t="s">
        <v>10</v>
      </c>
      <c r="B7">
        <v>14.067998324800023</v>
      </c>
    </row>
    <row r="8" spans="1:2" x14ac:dyDescent="0.3">
      <c r="A8" s="8" t="s">
        <v>12</v>
      </c>
      <c r="B8">
        <v>16.076503821978303</v>
      </c>
    </row>
    <row r="10" spans="1:2" ht="25.8" x14ac:dyDescent="0.5">
      <c r="A10" s="1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9904-5870-44EB-8272-219F6369EA5E}">
  <dimension ref="A3:B11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6.88671875" bestFit="1" customWidth="1"/>
  </cols>
  <sheetData>
    <row r="3" spans="1:2" x14ac:dyDescent="0.3">
      <c r="A3" s="11" t="s">
        <v>11</v>
      </c>
      <c r="B3" t="s">
        <v>15</v>
      </c>
    </row>
    <row r="4" spans="1:2" x14ac:dyDescent="0.3">
      <c r="A4" s="8" t="s">
        <v>8</v>
      </c>
      <c r="B4">
        <v>0.72951117073437088</v>
      </c>
    </row>
    <row r="5" spans="1:2" x14ac:dyDescent="0.3">
      <c r="A5" s="8" t="s">
        <v>7</v>
      </c>
      <c r="B5">
        <v>0.61356499711706247</v>
      </c>
    </row>
    <row r="6" spans="1:2" x14ac:dyDescent="0.3">
      <c r="A6" s="8" t="s">
        <v>9</v>
      </c>
      <c r="B6">
        <v>0.58195537618744697</v>
      </c>
    </row>
    <row r="7" spans="1:2" x14ac:dyDescent="0.3">
      <c r="A7" s="8" t="s">
        <v>10</v>
      </c>
      <c r="B7">
        <v>0.51857546128611121</v>
      </c>
    </row>
    <row r="8" spans="1:2" x14ac:dyDescent="0.3">
      <c r="A8" s="8" t="s">
        <v>12</v>
      </c>
      <c r="B8">
        <v>2.4436070053249916</v>
      </c>
    </row>
    <row r="11" spans="1:2" ht="25.8" x14ac:dyDescent="0.5">
      <c r="A11" s="1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B0AE-8738-4634-90D5-6BBA4E56568C}">
  <dimension ref="A1:F20"/>
  <sheetViews>
    <sheetView tabSelected="1" workbookViewId="0">
      <selection activeCell="N8" sqref="N8"/>
    </sheetView>
  </sheetViews>
  <sheetFormatPr defaultRowHeight="14.4" x14ac:dyDescent="0.3"/>
  <cols>
    <col min="1" max="1" width="12.44140625" bestFit="1" customWidth="1"/>
    <col min="2" max="2" width="24.77734375" bestFit="1" customWidth="1"/>
    <col min="3" max="3" width="18.33203125" bestFit="1" customWidth="1"/>
    <col min="6" max="6" width="8.88671875" style="19"/>
  </cols>
  <sheetData>
    <row r="1" spans="1:6" x14ac:dyDescent="0.3">
      <c r="F1" s="18"/>
    </row>
    <row r="3" spans="1:6" x14ac:dyDescent="0.3">
      <c r="A3" s="11" t="s">
        <v>11</v>
      </c>
      <c r="B3" t="s">
        <v>13</v>
      </c>
      <c r="C3" t="s">
        <v>16</v>
      </c>
    </row>
    <row r="4" spans="1:6" x14ac:dyDescent="0.3">
      <c r="A4" s="8" t="s">
        <v>7</v>
      </c>
      <c r="B4">
        <v>15.559291798886182</v>
      </c>
      <c r="C4">
        <v>34821.23529411765</v>
      </c>
    </row>
    <row r="5" spans="1:6" x14ac:dyDescent="0.3">
      <c r="A5" s="8" t="s">
        <v>10</v>
      </c>
      <c r="B5">
        <v>14.067998324800023</v>
      </c>
      <c r="C5">
        <v>36191.327272727271</v>
      </c>
    </row>
    <row r="6" spans="1:6" x14ac:dyDescent="0.3">
      <c r="A6" s="8" t="s">
        <v>8</v>
      </c>
      <c r="B6">
        <v>17.480513118999934</v>
      </c>
      <c r="C6">
        <v>35360.056603773584</v>
      </c>
    </row>
    <row r="7" spans="1:6" x14ac:dyDescent="0.3">
      <c r="A7" s="8" t="s">
        <v>9</v>
      </c>
      <c r="B7">
        <v>17.599262914182141</v>
      </c>
      <c r="C7">
        <v>31374.90243902439</v>
      </c>
    </row>
    <row r="8" spans="1:6" x14ac:dyDescent="0.3">
      <c r="A8" s="8" t="s">
        <v>12</v>
      </c>
      <c r="B8">
        <v>16.076503821978303</v>
      </c>
      <c r="C8">
        <v>34634.300000000003</v>
      </c>
    </row>
    <row r="20" spans="3:3" ht="31.2" x14ac:dyDescent="0.3">
      <c r="C20" s="16" t="s">
        <v>17</v>
      </c>
    </row>
  </sheetData>
  <conditionalFormatting sqref="F1:F301">
    <cfRule type="top10" dxfId="4" priority="1" rank="10"/>
  </conditionalFormatting>
  <conditionalFormatting sqref="F1:F1048575">
    <cfRule type="top10" dxfId="3" priority="2" rank="10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9521-6E95-4671-9E6A-7E639C7BE29F}">
  <dimension ref="A1:J301"/>
  <sheetViews>
    <sheetView workbookViewId="0">
      <selection activeCell="J19" sqref="J19"/>
    </sheetView>
  </sheetViews>
  <sheetFormatPr defaultRowHeight="14.4" x14ac:dyDescent="0.3"/>
  <cols>
    <col min="1" max="1" width="20.21875" style="7" customWidth="1"/>
    <col min="2" max="2" width="15.77734375" style="8" customWidth="1"/>
    <col min="3" max="3" width="13.77734375" style="9" bestFit="1" customWidth="1"/>
    <col min="4" max="4" width="11.77734375" style="9" customWidth="1"/>
    <col min="5" max="5" width="14.6640625" style="9" customWidth="1"/>
    <col min="6" max="6" width="20.88671875" style="19" customWidth="1"/>
    <col min="7" max="7" width="14.5546875" style="10" customWidth="1"/>
    <col min="8" max="8" width="13.21875" style="21" customWidth="1"/>
    <col min="10" max="10" width="12.109375" customWidth="1"/>
  </cols>
  <sheetData>
    <row r="1" spans="1:10" s="15" customFormat="1" x14ac:dyDescent="0.3">
      <c r="A1" s="12" t="s">
        <v>0</v>
      </c>
      <c r="B1" s="1" t="s">
        <v>1</v>
      </c>
      <c r="C1" s="13" t="s">
        <v>2</v>
      </c>
      <c r="D1" s="13" t="s">
        <v>3</v>
      </c>
      <c r="E1" s="13" t="s">
        <v>4</v>
      </c>
      <c r="F1" s="18" t="s">
        <v>5</v>
      </c>
      <c r="G1" s="14" t="s">
        <v>6</v>
      </c>
      <c r="H1" s="20" t="s">
        <v>14</v>
      </c>
    </row>
    <row r="2" spans="1:10" x14ac:dyDescent="0.3">
      <c r="A2" s="2">
        <v>45446</v>
      </c>
      <c r="B2" s="3" t="s">
        <v>7</v>
      </c>
      <c r="C2" s="4">
        <v>4138</v>
      </c>
      <c r="D2" s="4">
        <v>361</v>
      </c>
      <c r="E2" s="4">
        <v>103777</v>
      </c>
      <c r="F2" s="19">
        <v>0.49054105563022848</v>
      </c>
      <c r="G2" s="5">
        <v>23944</v>
      </c>
      <c r="H2" s="21">
        <f>(C2-D2)/E2</f>
        <v>3.6395347716738774E-2</v>
      </c>
    </row>
    <row r="3" spans="1:10" x14ac:dyDescent="0.3">
      <c r="A3" s="2">
        <v>45446</v>
      </c>
      <c r="B3" s="6" t="s">
        <v>8</v>
      </c>
      <c r="C3" s="4">
        <v>8693</v>
      </c>
      <c r="D3" s="4">
        <v>1261</v>
      </c>
      <c r="E3" s="4">
        <v>111209</v>
      </c>
      <c r="F3" s="19">
        <v>0.48803915290673738</v>
      </c>
      <c r="G3" s="5">
        <v>29873</v>
      </c>
      <c r="H3" s="21">
        <f t="shared" ref="H3:H66" si="0">(C3-D3)/E3</f>
        <v>6.6829123542159363E-2</v>
      </c>
    </row>
    <row r="4" spans="1:10" x14ac:dyDescent="0.3">
      <c r="A4" s="2">
        <v>45446</v>
      </c>
      <c r="B4" s="6" t="s">
        <v>9</v>
      </c>
      <c r="C4" s="4">
        <v>9264</v>
      </c>
      <c r="D4" s="4">
        <v>1141</v>
      </c>
      <c r="E4" s="4">
        <v>119332</v>
      </c>
      <c r="F4" s="19">
        <v>0.454928065278076</v>
      </c>
      <c r="G4" s="5">
        <v>50372</v>
      </c>
      <c r="H4" s="21">
        <f t="shared" si="0"/>
        <v>6.8070592967519189E-2</v>
      </c>
    </row>
    <row r="5" spans="1:10" x14ac:dyDescent="0.3">
      <c r="A5" s="2">
        <v>45446</v>
      </c>
      <c r="B5" s="6" t="s">
        <v>9</v>
      </c>
      <c r="C5" s="4">
        <v>8842</v>
      </c>
      <c r="D5" s="4">
        <v>971</v>
      </c>
      <c r="E5" s="4">
        <v>127203</v>
      </c>
      <c r="F5" s="19">
        <v>0.41655672298962027</v>
      </c>
      <c r="G5" s="5">
        <v>33928</v>
      </c>
      <c r="H5" s="21">
        <f t="shared" si="0"/>
        <v>6.1877471443283573E-2</v>
      </c>
    </row>
    <row r="6" spans="1:10" x14ac:dyDescent="0.3">
      <c r="A6" s="2">
        <v>45453</v>
      </c>
      <c r="B6" s="6" t="s">
        <v>7</v>
      </c>
      <c r="C6" s="4">
        <v>7721</v>
      </c>
      <c r="D6" s="4">
        <v>506</v>
      </c>
      <c r="E6" s="4">
        <v>134418</v>
      </c>
      <c r="F6" s="19">
        <v>0.40382152376337016</v>
      </c>
      <c r="G6" s="5">
        <v>25379</v>
      </c>
      <c r="H6" s="21">
        <f t="shared" si="0"/>
        <v>5.3675846984778827E-2</v>
      </c>
    </row>
    <row r="7" spans="1:10" x14ac:dyDescent="0.3">
      <c r="A7" s="2">
        <v>45453</v>
      </c>
      <c r="B7" s="6" t="s">
        <v>9</v>
      </c>
      <c r="C7" s="4">
        <v>8002</v>
      </c>
      <c r="D7" s="4">
        <v>524</v>
      </c>
      <c r="E7" s="4">
        <v>141896</v>
      </c>
      <c r="F7" s="19">
        <v>0.39401343921808185</v>
      </c>
      <c r="G7" s="5">
        <v>46751</v>
      </c>
      <c r="H7" s="21">
        <f t="shared" si="0"/>
        <v>5.270056943113266E-2</v>
      </c>
    </row>
    <row r="8" spans="1:10" x14ac:dyDescent="0.3">
      <c r="A8" s="2">
        <v>45453</v>
      </c>
      <c r="B8" s="6" t="s">
        <v>8</v>
      </c>
      <c r="C8" s="4">
        <v>5225</v>
      </c>
      <c r="D8" s="4">
        <v>291</v>
      </c>
      <c r="E8" s="4">
        <v>146830</v>
      </c>
      <c r="F8" s="19">
        <v>0.36764099509781462</v>
      </c>
      <c r="G8" s="5">
        <v>44546</v>
      </c>
      <c r="H8" s="21">
        <f t="shared" si="0"/>
        <v>3.3603487025812166E-2</v>
      </c>
    </row>
    <row r="9" spans="1:10" x14ac:dyDescent="0.3">
      <c r="A9" s="2">
        <v>45453</v>
      </c>
      <c r="B9" s="6" t="s">
        <v>8</v>
      </c>
      <c r="C9" s="4">
        <v>3978</v>
      </c>
      <c r="D9" s="4">
        <v>543</v>
      </c>
      <c r="E9" s="4">
        <v>150265</v>
      </c>
      <c r="F9" s="19">
        <v>0.35412345125301342</v>
      </c>
      <c r="G9" s="5">
        <v>34286</v>
      </c>
      <c r="H9" s="21">
        <f t="shared" si="0"/>
        <v>2.2859614680730708E-2</v>
      </c>
      <c r="J9" s="7"/>
    </row>
    <row r="10" spans="1:10" x14ac:dyDescent="0.3">
      <c r="A10" s="2">
        <v>45460</v>
      </c>
      <c r="B10" s="6" t="s">
        <v>7</v>
      </c>
      <c r="C10" s="4">
        <v>8373</v>
      </c>
      <c r="D10" s="4">
        <v>921</v>
      </c>
      <c r="E10" s="4">
        <v>157717</v>
      </c>
      <c r="F10" s="19">
        <v>0.33944448049841003</v>
      </c>
      <c r="G10" s="5">
        <v>15110</v>
      </c>
      <c r="H10" s="21">
        <f t="shared" si="0"/>
        <v>4.7249186834646864E-2</v>
      </c>
    </row>
    <row r="11" spans="1:10" x14ac:dyDescent="0.3">
      <c r="A11" s="2">
        <v>45460</v>
      </c>
      <c r="B11" s="6" t="s">
        <v>8</v>
      </c>
      <c r="C11" s="4">
        <v>6907</v>
      </c>
      <c r="D11" s="4">
        <v>834</v>
      </c>
      <c r="E11" s="4">
        <v>163790</v>
      </c>
      <c r="F11" s="19">
        <v>0.33811899081905589</v>
      </c>
      <c r="G11" s="5">
        <v>22087</v>
      </c>
      <c r="H11" s="21">
        <f t="shared" si="0"/>
        <v>3.7077965687770928E-2</v>
      </c>
    </row>
    <row r="12" spans="1:10" x14ac:dyDescent="0.3">
      <c r="A12" s="2">
        <v>45460</v>
      </c>
      <c r="B12" s="6" t="s">
        <v>10</v>
      </c>
      <c r="C12" s="4">
        <v>7097</v>
      </c>
      <c r="D12" s="4">
        <v>369</v>
      </c>
      <c r="E12" s="4">
        <v>170518</v>
      </c>
      <c r="F12" s="19">
        <v>0.33664878305877266</v>
      </c>
      <c r="G12" s="5">
        <v>33762</v>
      </c>
      <c r="H12" s="21">
        <f t="shared" si="0"/>
        <v>3.9456245088495059E-2</v>
      </c>
    </row>
    <row r="13" spans="1:10" x14ac:dyDescent="0.3">
      <c r="A13" s="2">
        <v>45460</v>
      </c>
      <c r="B13" s="6" t="s">
        <v>7</v>
      </c>
      <c r="C13" s="4">
        <v>6656</v>
      </c>
      <c r="D13" s="4">
        <v>978</v>
      </c>
      <c r="E13" s="4">
        <v>176196</v>
      </c>
      <c r="F13" s="19">
        <v>0.33614125678277612</v>
      </c>
      <c r="G13" s="5">
        <v>27081</v>
      </c>
      <c r="H13" s="21">
        <f t="shared" si="0"/>
        <v>3.2225476174260484E-2</v>
      </c>
    </row>
    <row r="14" spans="1:10" x14ac:dyDescent="0.3">
      <c r="A14" s="2">
        <v>45467</v>
      </c>
      <c r="B14" s="6" t="s">
        <v>8</v>
      </c>
      <c r="C14" s="4">
        <v>9984</v>
      </c>
      <c r="D14" s="4">
        <v>1330</v>
      </c>
      <c r="E14" s="4">
        <v>184850</v>
      </c>
      <c r="F14" s="19">
        <v>0.33122708479600593</v>
      </c>
      <c r="G14" s="5">
        <v>44947</v>
      </c>
      <c r="H14" s="21">
        <f t="shared" si="0"/>
        <v>4.6816337571003515E-2</v>
      </c>
    </row>
    <row r="15" spans="1:10" x14ac:dyDescent="0.3">
      <c r="A15" s="2">
        <v>45467</v>
      </c>
      <c r="B15" s="6" t="s">
        <v>7</v>
      </c>
      <c r="C15" s="4">
        <v>5259</v>
      </c>
      <c r="D15" s="4">
        <v>374</v>
      </c>
      <c r="E15" s="4">
        <v>189735</v>
      </c>
      <c r="F15" s="19">
        <v>0.32075321024723696</v>
      </c>
      <c r="G15" s="5">
        <v>19596</v>
      </c>
      <c r="H15" s="21">
        <f t="shared" si="0"/>
        <v>2.5746435818378266E-2</v>
      </c>
    </row>
    <row r="16" spans="1:10" x14ac:dyDescent="0.3">
      <c r="A16" s="2">
        <v>45467</v>
      </c>
      <c r="B16" s="6" t="s">
        <v>9</v>
      </c>
      <c r="C16" s="4">
        <v>9286</v>
      </c>
      <c r="D16" s="4">
        <v>633</v>
      </c>
      <c r="E16" s="4">
        <v>198388</v>
      </c>
      <c r="F16" s="19">
        <v>0.30411037171472743</v>
      </c>
      <c r="G16" s="5">
        <v>48019</v>
      </c>
      <c r="H16" s="21">
        <f t="shared" si="0"/>
        <v>4.3616549388067825E-2</v>
      </c>
    </row>
    <row r="17" spans="1:8" x14ac:dyDescent="0.3">
      <c r="A17" s="2">
        <v>45467</v>
      </c>
      <c r="B17" s="6" t="s">
        <v>8</v>
      </c>
      <c r="C17" s="4">
        <v>6901</v>
      </c>
      <c r="D17" s="4">
        <v>471</v>
      </c>
      <c r="E17" s="4">
        <v>204818</v>
      </c>
      <c r="F17" s="19">
        <v>0.30376507669022768</v>
      </c>
      <c r="G17" s="5">
        <v>52003</v>
      </c>
      <c r="H17" s="21">
        <f t="shared" si="0"/>
        <v>3.1393725160874533E-2</v>
      </c>
    </row>
    <row r="18" spans="1:8" x14ac:dyDescent="0.3">
      <c r="A18" s="2">
        <v>45474</v>
      </c>
      <c r="B18" s="6" t="s">
        <v>10</v>
      </c>
      <c r="C18" s="4">
        <v>5917</v>
      </c>
      <c r="D18" s="4">
        <v>475</v>
      </c>
      <c r="E18" s="4">
        <v>210260</v>
      </c>
      <c r="F18" s="19">
        <v>0.29972609886526674</v>
      </c>
      <c r="G18" s="5">
        <v>28313</v>
      </c>
      <c r="H18" s="21">
        <f t="shared" si="0"/>
        <v>2.5882241034909159E-2</v>
      </c>
    </row>
    <row r="19" spans="1:8" x14ac:dyDescent="0.3">
      <c r="A19" s="2">
        <v>45474</v>
      </c>
      <c r="B19" s="6" t="s">
        <v>8</v>
      </c>
      <c r="C19" s="4">
        <v>9429</v>
      </c>
      <c r="D19" s="4">
        <v>966</v>
      </c>
      <c r="E19" s="4">
        <v>218723</v>
      </c>
      <c r="F19" s="19">
        <v>0.29326581513113142</v>
      </c>
      <c r="G19" s="5">
        <v>57639</v>
      </c>
      <c r="H19" s="21">
        <f t="shared" si="0"/>
        <v>3.8692775794040866E-2</v>
      </c>
    </row>
    <row r="20" spans="1:8" x14ac:dyDescent="0.3">
      <c r="A20" s="2">
        <v>45474</v>
      </c>
      <c r="B20" s="6" t="s">
        <v>7</v>
      </c>
      <c r="C20" s="4">
        <v>3530</v>
      </c>
      <c r="D20" s="4">
        <v>328</v>
      </c>
      <c r="E20" s="4">
        <v>221925</v>
      </c>
      <c r="F20" s="19">
        <v>0.27733803074670571</v>
      </c>
      <c r="G20" s="5">
        <v>11013</v>
      </c>
      <c r="H20" s="21">
        <f t="shared" si="0"/>
        <v>1.4428297848372199E-2</v>
      </c>
    </row>
    <row r="21" spans="1:8" x14ac:dyDescent="0.3">
      <c r="A21" s="2">
        <v>45474</v>
      </c>
      <c r="B21" s="6" t="s">
        <v>7</v>
      </c>
      <c r="C21" s="4">
        <v>2960</v>
      </c>
      <c r="D21" s="4">
        <v>234</v>
      </c>
      <c r="E21" s="4">
        <v>224651</v>
      </c>
      <c r="F21" s="19">
        <v>0.27422598307615731</v>
      </c>
      <c r="G21" s="5">
        <v>59378</v>
      </c>
      <c r="H21" s="21">
        <f t="shared" si="0"/>
        <v>1.213437732304775E-2</v>
      </c>
    </row>
    <row r="22" spans="1:8" x14ac:dyDescent="0.3">
      <c r="A22" s="2">
        <v>45481</v>
      </c>
      <c r="B22" s="6" t="s">
        <v>8</v>
      </c>
      <c r="C22" s="4">
        <v>8045</v>
      </c>
      <c r="D22" s="4">
        <v>894</v>
      </c>
      <c r="E22" s="4">
        <v>231802</v>
      </c>
      <c r="F22" s="19">
        <v>0.26870850032900639</v>
      </c>
      <c r="G22" s="5">
        <v>33705</v>
      </c>
      <c r="H22" s="21">
        <f t="shared" si="0"/>
        <v>3.084960440375838E-2</v>
      </c>
    </row>
    <row r="23" spans="1:8" x14ac:dyDescent="0.3">
      <c r="A23" s="2">
        <v>45481</v>
      </c>
      <c r="B23" s="6" t="s">
        <v>10</v>
      </c>
      <c r="C23" s="4">
        <v>2048</v>
      </c>
      <c r="D23" s="4">
        <v>130</v>
      </c>
      <c r="E23" s="4">
        <v>233720</v>
      </c>
      <c r="F23" s="19">
        <v>0.26499649047027696</v>
      </c>
      <c r="G23" s="5">
        <v>11828</v>
      </c>
      <c r="H23" s="21">
        <f t="shared" si="0"/>
        <v>8.2064008214958063E-3</v>
      </c>
    </row>
    <row r="24" spans="1:8" x14ac:dyDescent="0.3">
      <c r="A24" s="2">
        <v>45481</v>
      </c>
      <c r="B24" s="6" t="s">
        <v>10</v>
      </c>
      <c r="C24" s="4">
        <v>6772</v>
      </c>
      <c r="D24" s="4">
        <v>536</v>
      </c>
      <c r="E24" s="4">
        <v>239956</v>
      </c>
      <c r="F24" s="19">
        <v>0.25244444444444447</v>
      </c>
      <c r="G24" s="5">
        <v>17909</v>
      </c>
      <c r="H24" s="21">
        <f t="shared" si="0"/>
        <v>2.5988097817933289E-2</v>
      </c>
    </row>
    <row r="25" spans="1:8" x14ac:dyDescent="0.3">
      <c r="A25" s="2">
        <v>45481</v>
      </c>
      <c r="B25" s="6" t="s">
        <v>10</v>
      </c>
      <c r="C25" s="4">
        <v>3529</v>
      </c>
      <c r="D25" s="4">
        <v>305</v>
      </c>
      <c r="E25" s="4">
        <v>243180</v>
      </c>
      <c r="F25" s="19">
        <v>0.24961472145505592</v>
      </c>
      <c r="G25" s="5">
        <v>48356</v>
      </c>
      <c r="H25" s="21">
        <f t="shared" si="0"/>
        <v>1.3257669216218439E-2</v>
      </c>
    </row>
    <row r="26" spans="1:8" x14ac:dyDescent="0.3">
      <c r="A26" s="2">
        <v>45488</v>
      </c>
      <c r="B26" s="6" t="s">
        <v>7</v>
      </c>
      <c r="C26" s="4">
        <v>3964</v>
      </c>
      <c r="D26" s="4">
        <v>378</v>
      </c>
      <c r="E26" s="4">
        <v>246766</v>
      </c>
      <c r="F26" s="19">
        <v>0.24662050774810418</v>
      </c>
      <c r="G26" s="5">
        <v>23109</v>
      </c>
      <c r="H26" s="21">
        <f t="shared" si="0"/>
        <v>1.453198576789347E-2</v>
      </c>
    </row>
    <row r="27" spans="1:8" x14ac:dyDescent="0.3">
      <c r="A27" s="2">
        <v>45488</v>
      </c>
      <c r="B27" s="6" t="s">
        <v>8</v>
      </c>
      <c r="C27" s="4">
        <v>8137</v>
      </c>
      <c r="D27" s="4">
        <v>1045</v>
      </c>
      <c r="E27" s="4">
        <v>253858</v>
      </c>
      <c r="F27" s="19">
        <v>0.24524738373893121</v>
      </c>
      <c r="G27" s="5">
        <v>12023</v>
      </c>
      <c r="H27" s="21">
        <f t="shared" si="0"/>
        <v>2.7936878097203948E-2</v>
      </c>
    </row>
    <row r="28" spans="1:8" x14ac:dyDescent="0.3">
      <c r="A28" s="2">
        <v>45488</v>
      </c>
      <c r="B28" s="6" t="s">
        <v>9</v>
      </c>
      <c r="C28" s="4">
        <v>1963</v>
      </c>
      <c r="D28" s="4">
        <v>137</v>
      </c>
      <c r="E28" s="4">
        <v>255684</v>
      </c>
      <c r="F28" s="19">
        <v>0.24296210465330631</v>
      </c>
      <c r="G28" s="5">
        <v>24537</v>
      </c>
      <c r="H28" s="21">
        <f t="shared" si="0"/>
        <v>7.1416279469970747E-3</v>
      </c>
    </row>
    <row r="29" spans="1:8" x14ac:dyDescent="0.3">
      <c r="A29" s="2">
        <v>45488</v>
      </c>
      <c r="B29" s="6" t="s">
        <v>7</v>
      </c>
      <c r="C29" s="4">
        <v>1536</v>
      </c>
      <c r="D29" s="4">
        <v>155</v>
      </c>
      <c r="E29" s="4">
        <v>257065</v>
      </c>
      <c r="F29" s="19">
        <v>0.24183897379385011</v>
      </c>
      <c r="G29" s="5">
        <v>36661</v>
      </c>
      <c r="H29" s="21">
        <f t="shared" si="0"/>
        <v>5.3721821329235798E-3</v>
      </c>
    </row>
    <row r="30" spans="1:8" x14ac:dyDescent="0.3">
      <c r="A30" s="2">
        <v>45495</v>
      </c>
      <c r="B30" s="6" t="s">
        <v>10</v>
      </c>
      <c r="C30" s="4">
        <v>8340</v>
      </c>
      <c r="D30" s="4">
        <v>911</v>
      </c>
      <c r="E30" s="4">
        <v>264494</v>
      </c>
      <c r="F30" s="19">
        <v>0.24061371496264594</v>
      </c>
      <c r="G30" s="5">
        <v>48659</v>
      </c>
      <c r="H30" s="21">
        <f t="shared" si="0"/>
        <v>2.8087593669421613E-2</v>
      </c>
    </row>
    <row r="31" spans="1:8" x14ac:dyDescent="0.3">
      <c r="A31" s="2">
        <v>45495</v>
      </c>
      <c r="B31" s="6" t="s">
        <v>8</v>
      </c>
      <c r="C31" s="4">
        <v>8179</v>
      </c>
      <c r="D31" s="4">
        <v>446</v>
      </c>
      <c r="E31" s="4">
        <v>272227</v>
      </c>
      <c r="F31" s="19">
        <v>0.23849278652289496</v>
      </c>
      <c r="G31" s="5">
        <v>43848</v>
      </c>
      <c r="H31" s="21">
        <f t="shared" si="0"/>
        <v>2.8406440213498294E-2</v>
      </c>
    </row>
    <row r="32" spans="1:8" x14ac:dyDescent="0.3">
      <c r="A32" s="2">
        <v>45495</v>
      </c>
      <c r="B32" s="6" t="s">
        <v>10</v>
      </c>
      <c r="C32" s="4">
        <v>8967</v>
      </c>
      <c r="D32" s="4">
        <v>993</v>
      </c>
      <c r="E32" s="4">
        <v>280201</v>
      </c>
      <c r="F32" s="19">
        <v>0.23651095419156257</v>
      </c>
      <c r="G32" s="5">
        <v>47804</v>
      </c>
      <c r="H32" s="21">
        <f t="shared" si="0"/>
        <v>2.8458142547671136E-2</v>
      </c>
    </row>
    <row r="33" spans="1:8" x14ac:dyDescent="0.3">
      <c r="A33" s="2">
        <v>45495</v>
      </c>
      <c r="B33" s="6" t="s">
        <v>9</v>
      </c>
      <c r="C33" s="4">
        <v>9734</v>
      </c>
      <c r="D33" s="4">
        <v>652</v>
      </c>
      <c r="E33" s="4">
        <v>289283</v>
      </c>
      <c r="F33" s="19">
        <v>0.23586093672751696</v>
      </c>
      <c r="G33" s="5">
        <v>25379</v>
      </c>
      <c r="H33" s="21">
        <f t="shared" si="0"/>
        <v>3.1394862470314533E-2</v>
      </c>
    </row>
    <row r="34" spans="1:8" x14ac:dyDescent="0.3">
      <c r="A34" s="2">
        <v>45502</v>
      </c>
      <c r="B34" s="6" t="s">
        <v>10</v>
      </c>
      <c r="C34" s="4">
        <v>1845</v>
      </c>
      <c r="D34" s="4">
        <v>104</v>
      </c>
      <c r="E34" s="4">
        <v>291024</v>
      </c>
      <c r="F34" s="19">
        <v>0.23480523727127811</v>
      </c>
      <c r="G34" s="5">
        <v>37766</v>
      </c>
      <c r="H34" s="21">
        <f t="shared" si="0"/>
        <v>5.9823244818296775E-3</v>
      </c>
    </row>
    <row r="35" spans="1:8" x14ac:dyDescent="0.3">
      <c r="A35" s="2">
        <v>45502</v>
      </c>
      <c r="B35" s="6" t="s">
        <v>10</v>
      </c>
      <c r="C35" s="4">
        <v>6777</v>
      </c>
      <c r="D35" s="4">
        <v>981</v>
      </c>
      <c r="E35" s="4">
        <v>296820</v>
      </c>
      <c r="F35" s="19">
        <v>0.22984003241803833</v>
      </c>
      <c r="G35" s="5">
        <v>53590</v>
      </c>
      <c r="H35" s="21">
        <f t="shared" si="0"/>
        <v>1.952698605215282E-2</v>
      </c>
    </row>
    <row r="36" spans="1:8" x14ac:dyDescent="0.3">
      <c r="A36" s="2">
        <v>45502</v>
      </c>
      <c r="B36" s="6" t="s">
        <v>9</v>
      </c>
      <c r="C36" s="4">
        <v>4036</v>
      </c>
      <c r="D36" s="4">
        <v>591</v>
      </c>
      <c r="E36" s="4">
        <v>300265</v>
      </c>
      <c r="F36" s="19">
        <v>0.22742805582752595</v>
      </c>
      <c r="G36" s="5">
        <v>12563</v>
      </c>
      <c r="H36" s="21">
        <f t="shared" si="0"/>
        <v>1.1473198674504187E-2</v>
      </c>
    </row>
    <row r="37" spans="1:8" x14ac:dyDescent="0.3">
      <c r="A37" s="2">
        <v>45502</v>
      </c>
      <c r="B37" s="6" t="s">
        <v>8</v>
      </c>
      <c r="C37" s="4">
        <v>6947</v>
      </c>
      <c r="D37" s="4">
        <v>908</v>
      </c>
      <c r="E37" s="4">
        <v>306304</v>
      </c>
      <c r="F37" s="19">
        <v>0.22627275835984373</v>
      </c>
      <c r="G37" s="5">
        <v>46060</v>
      </c>
      <c r="H37" s="21">
        <f t="shared" si="0"/>
        <v>1.9715707271207691E-2</v>
      </c>
    </row>
    <row r="38" spans="1:8" x14ac:dyDescent="0.3">
      <c r="A38" s="2">
        <v>45509</v>
      </c>
      <c r="B38" s="6" t="s">
        <v>7</v>
      </c>
      <c r="C38" s="4">
        <v>3494</v>
      </c>
      <c r="D38" s="4">
        <v>281</v>
      </c>
      <c r="E38" s="4">
        <v>309517</v>
      </c>
      <c r="F38" s="19">
        <v>0.22216963147030594</v>
      </c>
      <c r="G38" s="5">
        <v>39197</v>
      </c>
      <c r="H38" s="21">
        <f t="shared" si="0"/>
        <v>1.0380689913639638E-2</v>
      </c>
    </row>
    <row r="39" spans="1:8" x14ac:dyDescent="0.3">
      <c r="A39" s="2">
        <v>45509</v>
      </c>
      <c r="B39" s="6" t="s">
        <v>8</v>
      </c>
      <c r="C39" s="4">
        <v>3719</v>
      </c>
      <c r="D39" s="4">
        <v>222</v>
      </c>
      <c r="E39" s="4">
        <v>313014</v>
      </c>
      <c r="F39" s="19">
        <v>0.22195056640238436</v>
      </c>
      <c r="G39" s="5">
        <v>13586</v>
      </c>
      <c r="H39" s="21">
        <f t="shared" si="0"/>
        <v>1.1172024254506188E-2</v>
      </c>
    </row>
    <row r="40" spans="1:8" x14ac:dyDescent="0.3">
      <c r="A40" s="2">
        <v>45509</v>
      </c>
      <c r="B40" s="6" t="s">
        <v>9</v>
      </c>
      <c r="C40" s="4">
        <v>2884</v>
      </c>
      <c r="D40" s="4">
        <v>341</v>
      </c>
      <c r="E40" s="4">
        <v>315557</v>
      </c>
      <c r="F40" s="19">
        <v>0.2145350682323072</v>
      </c>
      <c r="G40" s="5">
        <v>26087</v>
      </c>
      <c r="H40" s="21">
        <f t="shared" si="0"/>
        <v>8.058765928184131E-3</v>
      </c>
    </row>
    <row r="41" spans="1:8" x14ac:dyDescent="0.3">
      <c r="A41" s="2">
        <v>45509</v>
      </c>
      <c r="B41" s="6" t="s">
        <v>10</v>
      </c>
      <c r="C41" s="4">
        <v>5349</v>
      </c>
      <c r="D41" s="4">
        <v>502</v>
      </c>
      <c r="E41" s="4">
        <v>320404</v>
      </c>
      <c r="F41" s="19">
        <v>0.21037626768581694</v>
      </c>
      <c r="G41" s="5">
        <v>58868</v>
      </c>
      <c r="H41" s="21">
        <f t="shared" si="0"/>
        <v>1.5127776182569505E-2</v>
      </c>
    </row>
    <row r="42" spans="1:8" x14ac:dyDescent="0.3">
      <c r="A42" s="2">
        <v>45516</v>
      </c>
      <c r="B42" s="6" t="s">
        <v>8</v>
      </c>
      <c r="C42" s="4">
        <v>6179</v>
      </c>
      <c r="D42" s="4">
        <v>384</v>
      </c>
      <c r="E42" s="4">
        <v>326199</v>
      </c>
      <c r="F42" s="19">
        <v>0.2051660977437349</v>
      </c>
      <c r="G42" s="5">
        <v>33225</v>
      </c>
      <c r="H42" s="21">
        <f t="shared" si="0"/>
        <v>1.7765229200580015E-2</v>
      </c>
    </row>
    <row r="43" spans="1:8" x14ac:dyDescent="0.3">
      <c r="A43" s="2">
        <v>45516</v>
      </c>
      <c r="B43" s="6" t="s">
        <v>7</v>
      </c>
      <c r="C43" s="4">
        <v>7610</v>
      </c>
      <c r="D43" s="4">
        <v>757</v>
      </c>
      <c r="E43" s="4">
        <v>333052</v>
      </c>
      <c r="F43" s="19">
        <v>0.20473865723115511</v>
      </c>
      <c r="G43" s="5">
        <v>39750</v>
      </c>
      <c r="H43" s="21">
        <f t="shared" si="0"/>
        <v>2.0576366453286574E-2</v>
      </c>
    </row>
    <row r="44" spans="1:8" x14ac:dyDescent="0.3">
      <c r="A44" s="2">
        <v>45516</v>
      </c>
      <c r="B44" s="6" t="s">
        <v>9</v>
      </c>
      <c r="C44" s="4">
        <v>7430</v>
      </c>
      <c r="D44" s="4">
        <v>397</v>
      </c>
      <c r="E44" s="4">
        <v>340085</v>
      </c>
      <c r="F44" s="19">
        <v>0.19921115049436347</v>
      </c>
      <c r="G44" s="5">
        <v>16643</v>
      </c>
      <c r="H44" s="21">
        <f t="shared" si="0"/>
        <v>2.0680124086625402E-2</v>
      </c>
    </row>
    <row r="45" spans="1:8" x14ac:dyDescent="0.3">
      <c r="A45" s="2">
        <v>45516</v>
      </c>
      <c r="B45" s="6" t="s">
        <v>8</v>
      </c>
      <c r="C45" s="4">
        <v>8154</v>
      </c>
      <c r="D45" s="4">
        <v>1149</v>
      </c>
      <c r="E45" s="4">
        <v>347090</v>
      </c>
      <c r="F45" s="19">
        <v>0.19899909707413599</v>
      </c>
      <c r="G45" s="5">
        <v>37523</v>
      </c>
      <c r="H45" s="21">
        <f t="shared" si="0"/>
        <v>2.0182085338096747E-2</v>
      </c>
    </row>
    <row r="46" spans="1:8" x14ac:dyDescent="0.3">
      <c r="A46" s="2">
        <v>45523</v>
      </c>
      <c r="B46" s="6" t="s">
        <v>7</v>
      </c>
      <c r="C46" s="4">
        <v>7488</v>
      </c>
      <c r="D46" s="4">
        <v>568</v>
      </c>
      <c r="E46" s="4">
        <v>354010</v>
      </c>
      <c r="F46" s="19">
        <v>0.19881267864788862</v>
      </c>
      <c r="G46" s="5">
        <v>46727</v>
      </c>
      <c r="H46" s="21">
        <f t="shared" si="0"/>
        <v>1.9547470410440384E-2</v>
      </c>
    </row>
    <row r="47" spans="1:8" x14ac:dyDescent="0.3">
      <c r="A47" s="2">
        <v>45523</v>
      </c>
      <c r="B47" s="6" t="s">
        <v>9</v>
      </c>
      <c r="C47" s="4">
        <v>5737</v>
      </c>
      <c r="D47" s="4">
        <v>666</v>
      </c>
      <c r="E47" s="4">
        <v>359081</v>
      </c>
      <c r="F47" s="19">
        <v>0.19880365649966678</v>
      </c>
      <c r="G47" s="5">
        <v>21005</v>
      </c>
      <c r="H47" s="21">
        <f t="shared" si="0"/>
        <v>1.4122161852061233E-2</v>
      </c>
    </row>
    <row r="48" spans="1:8" x14ac:dyDescent="0.3">
      <c r="A48" s="2">
        <v>45523</v>
      </c>
      <c r="B48" s="6" t="s">
        <v>7</v>
      </c>
      <c r="C48" s="4">
        <v>7525</v>
      </c>
      <c r="D48" s="4">
        <v>610</v>
      </c>
      <c r="E48" s="4">
        <v>365996</v>
      </c>
      <c r="F48" s="19">
        <v>0.19849520418126471</v>
      </c>
      <c r="G48" s="5">
        <v>53543</v>
      </c>
      <c r="H48" s="21">
        <f t="shared" si="0"/>
        <v>1.8893649110919244E-2</v>
      </c>
    </row>
    <row r="49" spans="1:8" x14ac:dyDescent="0.3">
      <c r="A49" s="2">
        <v>45523</v>
      </c>
      <c r="B49" s="6" t="s">
        <v>9</v>
      </c>
      <c r="C49" s="4">
        <v>4850</v>
      </c>
      <c r="D49" s="4">
        <v>494</v>
      </c>
      <c r="E49" s="4">
        <v>370352</v>
      </c>
      <c r="F49" s="19">
        <v>0.19480145184678152</v>
      </c>
      <c r="G49" s="5">
        <v>10161</v>
      </c>
      <c r="H49" s="21">
        <f t="shared" si="0"/>
        <v>1.176178338445587E-2</v>
      </c>
    </row>
    <row r="50" spans="1:8" x14ac:dyDescent="0.3">
      <c r="A50" s="2">
        <v>45530</v>
      </c>
      <c r="B50" s="6" t="s">
        <v>10</v>
      </c>
      <c r="C50" s="4">
        <v>1689</v>
      </c>
      <c r="D50" s="4">
        <v>176</v>
      </c>
      <c r="E50" s="4">
        <v>371865</v>
      </c>
      <c r="F50" s="19">
        <v>0.19404507155276179</v>
      </c>
      <c r="G50" s="5">
        <v>26029</v>
      </c>
      <c r="H50" s="21">
        <f t="shared" si="0"/>
        <v>4.068680838476329E-3</v>
      </c>
    </row>
    <row r="51" spans="1:8" x14ac:dyDescent="0.3">
      <c r="A51" s="2">
        <v>45530</v>
      </c>
      <c r="B51" s="6" t="s">
        <v>8</v>
      </c>
      <c r="C51" s="4">
        <v>6175</v>
      </c>
      <c r="D51" s="4">
        <v>422</v>
      </c>
      <c r="E51" s="4">
        <v>377618</v>
      </c>
      <c r="F51" s="19">
        <v>0.19367079001290127</v>
      </c>
      <c r="G51" s="5">
        <v>59745</v>
      </c>
      <c r="H51" s="21">
        <f t="shared" si="0"/>
        <v>1.523497290913039E-2</v>
      </c>
    </row>
    <row r="52" spans="1:8" x14ac:dyDescent="0.3">
      <c r="A52" s="2">
        <v>45530</v>
      </c>
      <c r="B52" s="6" t="s">
        <v>7</v>
      </c>
      <c r="C52" s="4">
        <v>9648</v>
      </c>
      <c r="D52" s="4">
        <v>1417</v>
      </c>
      <c r="E52" s="4">
        <v>385849</v>
      </c>
      <c r="F52" s="19">
        <v>0.19362974805667346</v>
      </c>
      <c r="G52" s="5">
        <v>24226</v>
      </c>
      <c r="H52" s="21">
        <f t="shared" si="0"/>
        <v>2.1332179168534842E-2</v>
      </c>
    </row>
    <row r="53" spans="1:8" x14ac:dyDescent="0.3">
      <c r="A53" s="2">
        <v>45530</v>
      </c>
      <c r="B53" s="6" t="s">
        <v>9</v>
      </c>
      <c r="C53" s="4">
        <v>6078</v>
      </c>
      <c r="D53" s="4">
        <v>775</v>
      </c>
      <c r="E53" s="4">
        <v>391152</v>
      </c>
      <c r="F53" s="19">
        <v>0.19210049402944315</v>
      </c>
      <c r="G53" s="5">
        <v>38731</v>
      </c>
      <c r="H53" s="21">
        <f t="shared" si="0"/>
        <v>1.3557389454738823E-2</v>
      </c>
    </row>
    <row r="54" spans="1:8" x14ac:dyDescent="0.3">
      <c r="A54" s="2">
        <v>45537</v>
      </c>
      <c r="B54" s="6" t="s">
        <v>7</v>
      </c>
      <c r="C54" s="4">
        <v>6448</v>
      </c>
      <c r="D54" s="4">
        <v>928</v>
      </c>
      <c r="E54" s="4">
        <v>396672</v>
      </c>
      <c r="F54" s="19">
        <v>0.18511871113623515</v>
      </c>
      <c r="G54" s="5">
        <v>53922</v>
      </c>
      <c r="H54" s="21">
        <f t="shared" si="0"/>
        <v>1.3915779283639884E-2</v>
      </c>
    </row>
    <row r="55" spans="1:8" x14ac:dyDescent="0.3">
      <c r="A55" s="2">
        <v>45537</v>
      </c>
      <c r="B55" s="6" t="s">
        <v>7</v>
      </c>
      <c r="C55" s="4">
        <v>2179</v>
      </c>
      <c r="D55" s="4">
        <v>303</v>
      </c>
      <c r="E55" s="4">
        <v>398548</v>
      </c>
      <c r="F55" s="19">
        <v>0.18484186855282597</v>
      </c>
      <c r="G55" s="5">
        <v>54848</v>
      </c>
      <c r="H55" s="21">
        <f t="shared" si="0"/>
        <v>4.7070867248110645E-3</v>
      </c>
    </row>
    <row r="56" spans="1:8" x14ac:dyDescent="0.3">
      <c r="A56" s="2">
        <v>45537</v>
      </c>
      <c r="B56" s="6" t="s">
        <v>8</v>
      </c>
      <c r="C56" s="4">
        <v>7406</v>
      </c>
      <c r="D56" s="4">
        <v>813</v>
      </c>
      <c r="E56" s="4">
        <v>405141</v>
      </c>
      <c r="F56" s="19">
        <v>0.18062902760411656</v>
      </c>
      <c r="G56" s="5">
        <v>13390</v>
      </c>
      <c r="H56" s="21">
        <f t="shared" si="0"/>
        <v>1.6273346810122897E-2</v>
      </c>
    </row>
    <row r="57" spans="1:8" x14ac:dyDescent="0.3">
      <c r="A57" s="2">
        <v>45537</v>
      </c>
      <c r="B57" s="6" t="s">
        <v>10</v>
      </c>
      <c r="C57" s="4">
        <v>9591</v>
      </c>
      <c r="D57" s="4">
        <v>1363</v>
      </c>
      <c r="E57" s="4">
        <v>413369</v>
      </c>
      <c r="F57" s="19">
        <v>0.17717504237983267</v>
      </c>
      <c r="G57" s="5">
        <v>15997</v>
      </c>
      <c r="H57" s="21">
        <f t="shared" si="0"/>
        <v>1.9904734026983156E-2</v>
      </c>
    </row>
    <row r="58" spans="1:8" x14ac:dyDescent="0.3">
      <c r="A58" s="2">
        <v>45544</v>
      </c>
      <c r="B58" s="6" t="s">
        <v>7</v>
      </c>
      <c r="C58" s="4">
        <v>7907</v>
      </c>
      <c r="D58" s="4">
        <v>465</v>
      </c>
      <c r="E58" s="4">
        <v>420811</v>
      </c>
      <c r="F58" s="19">
        <v>0.17674852389540743</v>
      </c>
      <c r="G58" s="5">
        <v>22693</v>
      </c>
      <c r="H58" s="21">
        <f t="shared" si="0"/>
        <v>1.76848989213685E-2</v>
      </c>
    </row>
    <row r="59" spans="1:8" x14ac:dyDescent="0.3">
      <c r="A59" s="2">
        <v>45544</v>
      </c>
      <c r="B59" s="6" t="s">
        <v>9</v>
      </c>
      <c r="C59" s="4">
        <v>9800</v>
      </c>
      <c r="D59" s="4">
        <v>682</v>
      </c>
      <c r="E59" s="4">
        <v>429929</v>
      </c>
      <c r="F59" s="19">
        <v>0.17640683618174238</v>
      </c>
      <c r="G59" s="5">
        <v>59815</v>
      </c>
      <c r="H59" s="21">
        <f t="shared" si="0"/>
        <v>2.1208152974095722E-2</v>
      </c>
    </row>
    <row r="60" spans="1:8" x14ac:dyDescent="0.3">
      <c r="A60" s="2">
        <v>45544</v>
      </c>
      <c r="B60" s="6" t="s">
        <v>9</v>
      </c>
      <c r="C60" s="4">
        <v>2638</v>
      </c>
      <c r="D60" s="4">
        <v>143</v>
      </c>
      <c r="E60" s="4">
        <v>432424</v>
      </c>
      <c r="F60" s="19">
        <v>0.17382711311522595</v>
      </c>
      <c r="G60" s="5">
        <v>52092</v>
      </c>
      <c r="H60" s="21">
        <f t="shared" si="0"/>
        <v>5.7698000111002165E-3</v>
      </c>
    </row>
    <row r="61" spans="1:8" x14ac:dyDescent="0.3">
      <c r="A61" s="2">
        <v>45544</v>
      </c>
      <c r="B61" s="6" t="s">
        <v>10</v>
      </c>
      <c r="C61" s="4">
        <v>6671</v>
      </c>
      <c r="D61" s="4">
        <v>550</v>
      </c>
      <c r="E61" s="4">
        <v>438545</v>
      </c>
      <c r="F61" s="19">
        <v>0.17280843829895459</v>
      </c>
      <c r="G61" s="5">
        <v>10541</v>
      </c>
      <c r="H61" s="21">
        <f t="shared" si="0"/>
        <v>1.3957518612685129E-2</v>
      </c>
    </row>
    <row r="62" spans="1:8" x14ac:dyDescent="0.3">
      <c r="A62" s="2">
        <v>45551</v>
      </c>
      <c r="B62" s="6" t="s">
        <v>9</v>
      </c>
      <c r="C62" s="4">
        <v>7928</v>
      </c>
      <c r="D62" s="4">
        <v>704</v>
      </c>
      <c r="E62" s="4">
        <v>445769</v>
      </c>
      <c r="F62" s="19">
        <v>0.17140655596321194</v>
      </c>
      <c r="G62" s="5">
        <v>31817</v>
      </c>
      <c r="H62" s="21">
        <f t="shared" si="0"/>
        <v>1.6205702953772022E-2</v>
      </c>
    </row>
    <row r="63" spans="1:8" x14ac:dyDescent="0.3">
      <c r="A63" s="2">
        <v>45551</v>
      </c>
      <c r="B63" s="6" t="s">
        <v>10</v>
      </c>
      <c r="C63" s="4">
        <v>2382</v>
      </c>
      <c r="D63" s="4">
        <v>183</v>
      </c>
      <c r="E63" s="4">
        <v>447968</v>
      </c>
      <c r="F63" s="19">
        <v>0.17093461339861157</v>
      </c>
      <c r="G63" s="5">
        <v>47861</v>
      </c>
      <c r="H63" s="21">
        <f t="shared" si="0"/>
        <v>4.9088327737695546E-3</v>
      </c>
    </row>
    <row r="64" spans="1:8" x14ac:dyDescent="0.3">
      <c r="A64" s="2">
        <v>45551</v>
      </c>
      <c r="B64" s="6" t="s">
        <v>9</v>
      </c>
      <c r="C64" s="4">
        <v>2403</v>
      </c>
      <c r="D64" s="4">
        <v>319</v>
      </c>
      <c r="E64" s="4">
        <v>450052</v>
      </c>
      <c r="F64" s="19">
        <v>0.17002885921231325</v>
      </c>
      <c r="G64" s="5">
        <v>23428</v>
      </c>
      <c r="H64" s="21">
        <f t="shared" si="0"/>
        <v>4.6305760223263092E-3</v>
      </c>
    </row>
    <row r="65" spans="1:8" x14ac:dyDescent="0.3">
      <c r="A65" s="2">
        <v>45551</v>
      </c>
      <c r="B65" s="6" t="s">
        <v>8</v>
      </c>
      <c r="C65" s="4">
        <v>4292</v>
      </c>
      <c r="D65" s="4">
        <v>367</v>
      </c>
      <c r="E65" s="4">
        <v>453977</v>
      </c>
      <c r="F65" s="19">
        <v>0.1678059982351878</v>
      </c>
      <c r="G65" s="5">
        <v>53934</v>
      </c>
      <c r="H65" s="21">
        <f t="shared" si="0"/>
        <v>8.6458124530537899E-3</v>
      </c>
    </row>
    <row r="66" spans="1:8" x14ac:dyDescent="0.3">
      <c r="A66" s="2">
        <v>45558</v>
      </c>
      <c r="B66" s="6" t="s">
        <v>7</v>
      </c>
      <c r="C66" s="4">
        <v>1419</v>
      </c>
      <c r="D66" s="4">
        <v>110</v>
      </c>
      <c r="E66" s="4">
        <v>455286</v>
      </c>
      <c r="F66" s="19">
        <v>0.16660214321110009</v>
      </c>
      <c r="G66" s="5">
        <v>58831</v>
      </c>
      <c r="H66" s="21">
        <f t="shared" si="0"/>
        <v>2.8751158612388694E-3</v>
      </c>
    </row>
    <row r="67" spans="1:8" x14ac:dyDescent="0.3">
      <c r="A67" s="2">
        <v>45558</v>
      </c>
      <c r="B67" s="6" t="s">
        <v>8</v>
      </c>
      <c r="C67" s="4">
        <v>5517</v>
      </c>
      <c r="D67" s="4">
        <v>575</v>
      </c>
      <c r="E67" s="4">
        <v>460228</v>
      </c>
      <c r="F67" s="19">
        <v>0.16575751061428495</v>
      </c>
      <c r="G67" s="5">
        <v>20258</v>
      </c>
      <c r="H67" s="21">
        <f t="shared" ref="H67:H130" si="1">(C67-D67)/E67</f>
        <v>1.07381558705685E-2</v>
      </c>
    </row>
    <row r="68" spans="1:8" x14ac:dyDescent="0.3">
      <c r="A68" s="2">
        <v>45558</v>
      </c>
      <c r="B68" s="6" t="s">
        <v>7</v>
      </c>
      <c r="C68" s="4">
        <v>4302</v>
      </c>
      <c r="D68" s="4">
        <v>275</v>
      </c>
      <c r="E68" s="4">
        <v>464255</v>
      </c>
      <c r="F68" s="19">
        <v>0.16521228822208614</v>
      </c>
      <c r="G68" s="5">
        <v>26044</v>
      </c>
      <c r="H68" s="21">
        <f t="shared" si="1"/>
        <v>8.6741122874282456E-3</v>
      </c>
    </row>
    <row r="69" spans="1:8" x14ac:dyDescent="0.3">
      <c r="A69" s="2">
        <v>45558</v>
      </c>
      <c r="B69" s="6" t="s">
        <v>7</v>
      </c>
      <c r="C69" s="4">
        <v>8857</v>
      </c>
      <c r="D69" s="4">
        <v>1153</v>
      </c>
      <c r="E69" s="4">
        <v>471959</v>
      </c>
      <c r="F69" s="19">
        <v>0.16153586527871533</v>
      </c>
      <c r="G69" s="5">
        <v>39411</v>
      </c>
      <c r="H69" s="21">
        <f t="shared" si="1"/>
        <v>1.6323451825264481E-2</v>
      </c>
    </row>
    <row r="70" spans="1:8" x14ac:dyDescent="0.3">
      <c r="A70" s="2">
        <v>45565</v>
      </c>
      <c r="B70" s="6" t="s">
        <v>7</v>
      </c>
      <c r="C70" s="4">
        <v>8870</v>
      </c>
      <c r="D70" s="4">
        <v>509</v>
      </c>
      <c r="E70" s="4">
        <v>480320</v>
      </c>
      <c r="F70" s="19">
        <v>0.16149571565361859</v>
      </c>
      <c r="G70" s="5">
        <v>15469</v>
      </c>
      <c r="H70" s="21">
        <f t="shared" si="1"/>
        <v>1.7407145236508995E-2</v>
      </c>
    </row>
    <row r="71" spans="1:8" x14ac:dyDescent="0.3">
      <c r="A71" s="2">
        <v>45565</v>
      </c>
      <c r="B71" s="6" t="s">
        <v>8</v>
      </c>
      <c r="C71" s="4">
        <v>6693</v>
      </c>
      <c r="D71" s="4">
        <v>995</v>
      </c>
      <c r="E71" s="4">
        <v>486018</v>
      </c>
      <c r="F71" s="19">
        <v>0.15781817689762725</v>
      </c>
      <c r="G71" s="5">
        <v>38854</v>
      </c>
      <c r="H71" s="21">
        <f t="shared" si="1"/>
        <v>1.1723845618886543E-2</v>
      </c>
    </row>
    <row r="72" spans="1:8" x14ac:dyDescent="0.3">
      <c r="A72" s="2">
        <v>45565</v>
      </c>
      <c r="B72" s="6" t="s">
        <v>7</v>
      </c>
      <c r="C72" s="4">
        <v>1767</v>
      </c>
      <c r="D72" s="4">
        <v>224</v>
      </c>
      <c r="E72" s="4">
        <v>487561</v>
      </c>
      <c r="F72" s="19">
        <v>0.15675895231980713</v>
      </c>
      <c r="G72" s="5">
        <v>16256</v>
      </c>
      <c r="H72" s="21">
        <f t="shared" si="1"/>
        <v>3.1647322078673231E-3</v>
      </c>
    </row>
    <row r="73" spans="1:8" x14ac:dyDescent="0.3">
      <c r="A73" s="2">
        <v>45565</v>
      </c>
      <c r="B73" s="6" t="s">
        <v>8</v>
      </c>
      <c r="C73" s="4">
        <v>3044</v>
      </c>
      <c r="D73" s="4">
        <v>212</v>
      </c>
      <c r="E73" s="4">
        <v>490393</v>
      </c>
      <c r="F73" s="19">
        <v>0.1531737405828201</v>
      </c>
      <c r="G73" s="5">
        <v>20720</v>
      </c>
      <c r="H73" s="21">
        <f t="shared" si="1"/>
        <v>5.7749600830354431E-3</v>
      </c>
    </row>
    <row r="74" spans="1:8" x14ac:dyDescent="0.3">
      <c r="A74" s="2">
        <v>45572</v>
      </c>
      <c r="B74" s="6" t="s">
        <v>10</v>
      </c>
      <c r="C74" s="4">
        <v>2549</v>
      </c>
      <c r="D74" s="4">
        <v>128</v>
      </c>
      <c r="E74" s="4">
        <v>492814</v>
      </c>
      <c r="F74" s="19">
        <v>0.1529462222116324</v>
      </c>
      <c r="G74" s="5">
        <v>43937</v>
      </c>
      <c r="H74" s="21">
        <f t="shared" si="1"/>
        <v>4.9126039438814641E-3</v>
      </c>
    </row>
    <row r="75" spans="1:8" x14ac:dyDescent="0.3">
      <c r="A75" s="2">
        <v>45572</v>
      </c>
      <c r="B75" s="6" t="s">
        <v>9</v>
      </c>
      <c r="C75" s="4">
        <v>7140</v>
      </c>
      <c r="D75" s="4">
        <v>939</v>
      </c>
      <c r="E75" s="4">
        <v>499015</v>
      </c>
      <c r="F75" s="19">
        <v>0.15262765965138053</v>
      </c>
      <c r="G75" s="5">
        <v>43598</v>
      </c>
      <c r="H75" s="21">
        <f t="shared" si="1"/>
        <v>1.2426480165926877E-2</v>
      </c>
    </row>
    <row r="76" spans="1:8" x14ac:dyDescent="0.3">
      <c r="A76" s="2">
        <v>45572</v>
      </c>
      <c r="B76" s="6" t="s">
        <v>9</v>
      </c>
      <c r="C76" s="4">
        <v>4716</v>
      </c>
      <c r="D76" s="4">
        <v>569</v>
      </c>
      <c r="E76" s="4">
        <v>503162</v>
      </c>
      <c r="F76" s="19">
        <v>0.14992017142136885</v>
      </c>
      <c r="G76" s="5">
        <v>11651</v>
      </c>
      <c r="H76" s="21">
        <f t="shared" si="1"/>
        <v>8.2418783612434963E-3</v>
      </c>
    </row>
    <row r="77" spans="1:8" x14ac:dyDescent="0.3">
      <c r="A77" s="2">
        <v>45572</v>
      </c>
      <c r="B77" s="6" t="s">
        <v>7</v>
      </c>
      <c r="C77" s="4">
        <v>5481</v>
      </c>
      <c r="D77" s="4">
        <v>673</v>
      </c>
      <c r="E77" s="4">
        <v>507970</v>
      </c>
      <c r="F77" s="19">
        <v>0.14930001228048631</v>
      </c>
      <c r="G77" s="5">
        <v>29194</v>
      </c>
      <c r="H77" s="21">
        <f t="shared" si="1"/>
        <v>9.4651258932614123E-3</v>
      </c>
    </row>
    <row r="78" spans="1:8" x14ac:dyDescent="0.3">
      <c r="A78" s="2">
        <v>45579</v>
      </c>
      <c r="B78" s="6" t="s">
        <v>8</v>
      </c>
      <c r="C78" s="4">
        <v>8898</v>
      </c>
      <c r="D78" s="4">
        <v>1131</v>
      </c>
      <c r="E78" s="4">
        <v>515737</v>
      </c>
      <c r="F78" s="19">
        <v>0.14860020216860359</v>
      </c>
      <c r="G78" s="5">
        <v>35051</v>
      </c>
      <c r="H78" s="21">
        <f t="shared" si="1"/>
        <v>1.5060001512398761E-2</v>
      </c>
    </row>
    <row r="79" spans="1:8" x14ac:dyDescent="0.3">
      <c r="A79" s="2">
        <v>45579</v>
      </c>
      <c r="B79" s="6" t="s">
        <v>9</v>
      </c>
      <c r="C79" s="4">
        <v>7548</v>
      </c>
      <c r="D79" s="4">
        <v>433</v>
      </c>
      <c r="E79" s="4">
        <v>522852</v>
      </c>
      <c r="F79" s="19">
        <v>0.14827287209372669</v>
      </c>
      <c r="G79" s="5">
        <v>37386</v>
      </c>
      <c r="H79" s="21">
        <f t="shared" si="1"/>
        <v>1.3608057347012157E-2</v>
      </c>
    </row>
    <row r="80" spans="1:8" x14ac:dyDescent="0.3">
      <c r="A80" s="2">
        <v>45579</v>
      </c>
      <c r="B80" s="6" t="s">
        <v>8</v>
      </c>
      <c r="C80" s="4">
        <v>3293</v>
      </c>
      <c r="D80" s="4">
        <v>282</v>
      </c>
      <c r="E80" s="4">
        <v>525863</v>
      </c>
      <c r="F80" s="19">
        <v>0.1468281263867933</v>
      </c>
      <c r="G80" s="5">
        <v>19518</v>
      </c>
      <c r="H80" s="21">
        <f t="shared" si="1"/>
        <v>5.7258259280458983E-3</v>
      </c>
    </row>
    <row r="81" spans="1:8" x14ac:dyDescent="0.3">
      <c r="A81" s="2">
        <v>45579</v>
      </c>
      <c r="B81" s="6" t="s">
        <v>8</v>
      </c>
      <c r="C81" s="4">
        <v>5837</v>
      </c>
      <c r="D81" s="4">
        <v>359</v>
      </c>
      <c r="E81" s="4">
        <v>531341</v>
      </c>
      <c r="F81" s="19">
        <v>0.14677291642097814</v>
      </c>
      <c r="G81" s="5">
        <v>56026</v>
      </c>
      <c r="H81" s="21">
        <f t="shared" si="1"/>
        <v>1.0309763409938251E-2</v>
      </c>
    </row>
    <row r="82" spans="1:8" x14ac:dyDescent="0.3">
      <c r="A82" s="2">
        <v>45586</v>
      </c>
      <c r="B82" s="6" t="s">
        <v>7</v>
      </c>
      <c r="C82" s="4">
        <v>8758</v>
      </c>
      <c r="D82" s="4">
        <v>1193</v>
      </c>
      <c r="E82" s="4">
        <v>538906</v>
      </c>
      <c r="F82" s="19">
        <v>0.14587632297144379</v>
      </c>
      <c r="G82" s="5">
        <v>26184</v>
      </c>
      <c r="H82" s="21">
        <f t="shared" si="1"/>
        <v>1.4037698596786824E-2</v>
      </c>
    </row>
    <row r="83" spans="1:8" x14ac:dyDescent="0.3">
      <c r="A83" s="2">
        <v>45586</v>
      </c>
      <c r="B83" s="6" t="s">
        <v>9</v>
      </c>
      <c r="C83" s="4">
        <v>7793</v>
      </c>
      <c r="D83" s="4">
        <v>875</v>
      </c>
      <c r="E83" s="4">
        <v>545824</v>
      </c>
      <c r="F83" s="19">
        <v>0.14571454356012437</v>
      </c>
      <c r="G83" s="5">
        <v>43787</v>
      </c>
      <c r="H83" s="21">
        <f t="shared" si="1"/>
        <v>1.267441519610717E-2</v>
      </c>
    </row>
    <row r="84" spans="1:8" x14ac:dyDescent="0.3">
      <c r="A84" s="2">
        <v>45586</v>
      </c>
      <c r="B84" s="6" t="s">
        <v>7</v>
      </c>
      <c r="C84" s="4">
        <v>8638</v>
      </c>
      <c r="D84" s="4">
        <v>717</v>
      </c>
      <c r="E84" s="4">
        <v>553745</v>
      </c>
      <c r="F84" s="19">
        <v>0.14479998278496267</v>
      </c>
      <c r="G84" s="5">
        <v>31621</v>
      </c>
      <c r="H84" s="21">
        <f t="shared" si="1"/>
        <v>1.4304418098583283E-2</v>
      </c>
    </row>
    <row r="85" spans="1:8" x14ac:dyDescent="0.3">
      <c r="A85" s="2">
        <v>45586</v>
      </c>
      <c r="B85" s="6" t="s">
        <v>7</v>
      </c>
      <c r="C85" s="4">
        <v>8993</v>
      </c>
      <c r="D85" s="4">
        <v>506</v>
      </c>
      <c r="E85" s="4">
        <v>562232</v>
      </c>
      <c r="F85" s="19">
        <v>0.14055845707909384</v>
      </c>
      <c r="G85" s="5">
        <v>20028</v>
      </c>
      <c r="H85" s="21">
        <f t="shared" si="1"/>
        <v>1.509519202037593E-2</v>
      </c>
    </row>
    <row r="86" spans="1:8" x14ac:dyDescent="0.3">
      <c r="A86" s="2">
        <v>45593</v>
      </c>
      <c r="B86" s="6" t="s">
        <v>9</v>
      </c>
      <c r="C86" s="4">
        <v>7007</v>
      </c>
      <c r="D86" s="4">
        <v>568</v>
      </c>
      <c r="E86" s="4">
        <v>568671</v>
      </c>
      <c r="F86" s="19">
        <v>0.13818052950991538</v>
      </c>
      <c r="G86" s="5">
        <v>22448</v>
      </c>
      <c r="H86" s="21">
        <f t="shared" si="1"/>
        <v>1.1322891443382905E-2</v>
      </c>
    </row>
    <row r="87" spans="1:8" x14ac:dyDescent="0.3">
      <c r="A87" s="2">
        <v>45593</v>
      </c>
      <c r="B87" s="6" t="s">
        <v>9</v>
      </c>
      <c r="C87" s="4">
        <v>6542</v>
      </c>
      <c r="D87" s="4">
        <v>539</v>
      </c>
      <c r="E87" s="4">
        <v>574674</v>
      </c>
      <c r="F87" s="19">
        <v>0.13539638025499209</v>
      </c>
      <c r="G87" s="5">
        <v>55253</v>
      </c>
      <c r="H87" s="21">
        <f t="shared" si="1"/>
        <v>1.0445922383821088E-2</v>
      </c>
    </row>
    <row r="88" spans="1:8" x14ac:dyDescent="0.3">
      <c r="A88" s="2">
        <v>45593</v>
      </c>
      <c r="B88" s="6" t="s">
        <v>10</v>
      </c>
      <c r="C88" s="4">
        <v>7356</v>
      </c>
      <c r="D88" s="4">
        <v>904</v>
      </c>
      <c r="E88" s="4">
        <v>581126</v>
      </c>
      <c r="F88" s="19">
        <v>0.13500298340382616</v>
      </c>
      <c r="G88" s="5">
        <v>44051</v>
      </c>
      <c r="H88" s="21">
        <f t="shared" si="1"/>
        <v>1.1102583604932494E-2</v>
      </c>
    </row>
    <row r="89" spans="1:8" x14ac:dyDescent="0.3">
      <c r="A89" s="2">
        <v>45593</v>
      </c>
      <c r="B89" s="6" t="s">
        <v>10</v>
      </c>
      <c r="C89" s="4">
        <v>9433</v>
      </c>
      <c r="D89" s="4">
        <v>1073</v>
      </c>
      <c r="E89" s="4">
        <v>589486</v>
      </c>
      <c r="F89" s="19">
        <v>0.13425793222058077</v>
      </c>
      <c r="G89" s="5">
        <v>59811</v>
      </c>
      <c r="H89" s="21">
        <f t="shared" si="1"/>
        <v>1.4181846557848703E-2</v>
      </c>
    </row>
    <row r="90" spans="1:8" x14ac:dyDescent="0.3">
      <c r="A90" s="2">
        <v>45600</v>
      </c>
      <c r="B90" s="6" t="s">
        <v>8</v>
      </c>
      <c r="C90" s="4">
        <v>8380</v>
      </c>
      <c r="D90" s="4">
        <v>1162</v>
      </c>
      <c r="E90" s="4">
        <v>596704</v>
      </c>
      <c r="F90" s="19">
        <v>0.13410224480418728</v>
      </c>
      <c r="G90" s="5">
        <v>40447</v>
      </c>
      <c r="H90" s="21">
        <f t="shared" si="1"/>
        <v>1.2096449831072022E-2</v>
      </c>
    </row>
    <row r="91" spans="1:8" x14ac:dyDescent="0.3">
      <c r="A91" s="2">
        <v>45600</v>
      </c>
      <c r="B91" s="6" t="s">
        <v>9</v>
      </c>
      <c r="C91" s="4">
        <v>3385</v>
      </c>
      <c r="D91" s="4">
        <v>329</v>
      </c>
      <c r="E91" s="4">
        <v>599760</v>
      </c>
      <c r="F91" s="19">
        <v>0.13390686586891359</v>
      </c>
      <c r="G91" s="5">
        <v>28394</v>
      </c>
      <c r="H91" s="21">
        <f t="shared" si="1"/>
        <v>5.0953714819261036E-3</v>
      </c>
    </row>
    <row r="92" spans="1:8" x14ac:dyDescent="0.3">
      <c r="A92" s="2">
        <v>45600</v>
      </c>
      <c r="B92" s="6" t="s">
        <v>10</v>
      </c>
      <c r="C92" s="4">
        <v>5268</v>
      </c>
      <c r="D92" s="4">
        <v>326</v>
      </c>
      <c r="E92" s="4">
        <v>604702</v>
      </c>
      <c r="F92" s="19">
        <v>0.13333212380710477</v>
      </c>
      <c r="G92" s="5">
        <v>44501</v>
      </c>
      <c r="H92" s="21">
        <f t="shared" si="1"/>
        <v>8.1726205635172366E-3</v>
      </c>
    </row>
    <row r="93" spans="1:8" x14ac:dyDescent="0.3">
      <c r="A93" s="2">
        <v>45600</v>
      </c>
      <c r="B93" s="6" t="s">
        <v>8</v>
      </c>
      <c r="C93" s="4">
        <v>1671</v>
      </c>
      <c r="D93" s="4">
        <v>202</v>
      </c>
      <c r="E93" s="4">
        <v>606171</v>
      </c>
      <c r="F93" s="19">
        <v>0.13314933880177415</v>
      </c>
      <c r="G93" s="5">
        <v>40254</v>
      </c>
      <c r="H93" s="21">
        <f t="shared" si="1"/>
        <v>2.4234085761278583E-3</v>
      </c>
    </row>
    <row r="94" spans="1:8" x14ac:dyDescent="0.3">
      <c r="A94" s="2">
        <v>45607</v>
      </c>
      <c r="B94" s="6" t="s">
        <v>8</v>
      </c>
      <c r="C94" s="4">
        <v>1163</v>
      </c>
      <c r="D94" s="4">
        <v>146</v>
      </c>
      <c r="E94" s="4">
        <v>607188</v>
      </c>
      <c r="F94" s="19">
        <v>0.13251138343289942</v>
      </c>
      <c r="G94" s="5">
        <v>28509</v>
      </c>
      <c r="H94" s="21">
        <f t="shared" si="1"/>
        <v>1.6749342872388782E-3</v>
      </c>
    </row>
    <row r="95" spans="1:8" x14ac:dyDescent="0.3">
      <c r="A95" s="2">
        <v>45607</v>
      </c>
      <c r="B95" s="6" t="s">
        <v>8</v>
      </c>
      <c r="C95" s="4">
        <v>9656</v>
      </c>
      <c r="D95" s="4">
        <v>1024</v>
      </c>
      <c r="E95" s="4">
        <v>615820</v>
      </c>
      <c r="F95" s="19">
        <v>0.13185997546086614</v>
      </c>
      <c r="G95" s="5">
        <v>58998</v>
      </c>
      <c r="H95" s="21">
        <f t="shared" si="1"/>
        <v>1.401708291383846E-2</v>
      </c>
    </row>
    <row r="96" spans="1:8" x14ac:dyDescent="0.3">
      <c r="A96" s="2">
        <v>45607</v>
      </c>
      <c r="B96" s="6" t="s">
        <v>10</v>
      </c>
      <c r="C96" s="4">
        <v>5592</v>
      </c>
      <c r="D96" s="4">
        <v>710</v>
      </c>
      <c r="E96" s="4">
        <v>620702</v>
      </c>
      <c r="F96" s="19">
        <v>0.13062801371056759</v>
      </c>
      <c r="G96" s="5">
        <v>24472</v>
      </c>
      <c r="H96" s="21">
        <f t="shared" si="1"/>
        <v>7.8652880126050834E-3</v>
      </c>
    </row>
    <row r="97" spans="1:8" x14ac:dyDescent="0.3">
      <c r="A97" s="2">
        <v>45607</v>
      </c>
      <c r="B97" s="6" t="s">
        <v>9</v>
      </c>
      <c r="C97" s="4">
        <v>5795</v>
      </c>
      <c r="D97" s="4">
        <v>575</v>
      </c>
      <c r="E97" s="4">
        <v>625922</v>
      </c>
      <c r="F97" s="19">
        <v>0.13050140408153055</v>
      </c>
      <c r="G97" s="5">
        <v>55657</v>
      </c>
      <c r="H97" s="21">
        <f t="shared" si="1"/>
        <v>8.3396972785746461E-3</v>
      </c>
    </row>
    <row r="98" spans="1:8" x14ac:dyDescent="0.3">
      <c r="A98" s="2">
        <v>45614</v>
      </c>
      <c r="B98" s="6" t="s">
        <v>7</v>
      </c>
      <c r="C98" s="4">
        <v>5798</v>
      </c>
      <c r="D98" s="4">
        <v>592</v>
      </c>
      <c r="E98" s="4">
        <v>631128</v>
      </c>
      <c r="F98" s="19">
        <v>0.13041807107799658</v>
      </c>
      <c r="G98" s="5">
        <v>13471</v>
      </c>
      <c r="H98" s="21">
        <f t="shared" si="1"/>
        <v>8.2487229214992831E-3</v>
      </c>
    </row>
    <row r="99" spans="1:8" x14ac:dyDescent="0.3">
      <c r="A99" s="2">
        <v>45614</v>
      </c>
      <c r="B99" s="6" t="s">
        <v>8</v>
      </c>
      <c r="C99" s="4">
        <v>7036</v>
      </c>
      <c r="D99" s="4">
        <v>652</v>
      </c>
      <c r="E99" s="4">
        <v>637512</v>
      </c>
      <c r="F99" s="19">
        <v>0.13010670922779954</v>
      </c>
      <c r="G99" s="5">
        <v>51796</v>
      </c>
      <c r="H99" s="21">
        <f t="shared" si="1"/>
        <v>1.0013929149568949E-2</v>
      </c>
    </row>
    <row r="100" spans="1:8" x14ac:dyDescent="0.3">
      <c r="A100" s="2">
        <v>45614</v>
      </c>
      <c r="B100" s="6" t="s">
        <v>10</v>
      </c>
      <c r="C100" s="4">
        <v>3355</v>
      </c>
      <c r="D100" s="4">
        <v>176</v>
      </c>
      <c r="E100" s="4">
        <v>640691</v>
      </c>
      <c r="F100" s="19">
        <v>0.12912502137316773</v>
      </c>
      <c r="G100" s="5">
        <v>40268</v>
      </c>
      <c r="H100" s="21">
        <f t="shared" si="1"/>
        <v>4.9618302738761748E-3</v>
      </c>
    </row>
    <row r="101" spans="1:8" x14ac:dyDescent="0.3">
      <c r="A101" s="2">
        <v>45614</v>
      </c>
      <c r="B101" s="6" t="s">
        <v>10</v>
      </c>
      <c r="C101" s="4">
        <v>6887</v>
      </c>
      <c r="D101" s="4">
        <v>418</v>
      </c>
      <c r="E101" s="4">
        <v>647160</v>
      </c>
      <c r="F101" s="19">
        <v>0.1278440093067309</v>
      </c>
      <c r="G101" s="5">
        <v>18329</v>
      </c>
      <c r="H101" s="21">
        <f t="shared" si="1"/>
        <v>9.9959824463811114E-3</v>
      </c>
    </row>
    <row r="102" spans="1:8" x14ac:dyDescent="0.3">
      <c r="A102" s="2">
        <v>45621</v>
      </c>
      <c r="B102" s="6" t="s">
        <v>7</v>
      </c>
      <c r="C102" s="4">
        <v>8961</v>
      </c>
      <c r="D102" s="4">
        <v>476</v>
      </c>
      <c r="E102" s="4">
        <v>655645</v>
      </c>
      <c r="F102" s="19">
        <v>0.12668766876687668</v>
      </c>
      <c r="G102" s="5">
        <v>44865</v>
      </c>
      <c r="H102" s="21">
        <f t="shared" si="1"/>
        <v>1.2941454598143812E-2</v>
      </c>
    </row>
    <row r="103" spans="1:8" x14ac:dyDescent="0.3">
      <c r="A103" s="2">
        <v>45621</v>
      </c>
      <c r="B103" s="6" t="s">
        <v>7</v>
      </c>
      <c r="C103" s="4">
        <v>6827</v>
      </c>
      <c r="D103" s="4">
        <v>775</v>
      </c>
      <c r="E103" s="4">
        <v>661697</v>
      </c>
      <c r="F103" s="19">
        <v>0.12648968572187591</v>
      </c>
      <c r="G103" s="5">
        <v>56850</v>
      </c>
      <c r="H103" s="21">
        <f t="shared" si="1"/>
        <v>9.1461802003031598E-3</v>
      </c>
    </row>
    <row r="104" spans="1:8" x14ac:dyDescent="0.3">
      <c r="A104" s="2">
        <v>45621</v>
      </c>
      <c r="B104" s="6" t="s">
        <v>10</v>
      </c>
      <c r="C104" s="4">
        <v>9737</v>
      </c>
      <c r="D104" s="4">
        <v>792</v>
      </c>
      <c r="E104" s="4">
        <v>670642</v>
      </c>
      <c r="F104" s="19">
        <v>0.12615485358805359</v>
      </c>
      <c r="G104" s="5">
        <v>56698</v>
      </c>
      <c r="H104" s="21">
        <f t="shared" si="1"/>
        <v>1.3337965710468476E-2</v>
      </c>
    </row>
    <row r="105" spans="1:8" x14ac:dyDescent="0.3">
      <c r="A105" s="2">
        <v>45621</v>
      </c>
      <c r="B105" s="6" t="s">
        <v>9</v>
      </c>
      <c r="C105" s="4">
        <v>5719</v>
      </c>
      <c r="D105" s="4">
        <v>576</v>
      </c>
      <c r="E105" s="4">
        <v>675785</v>
      </c>
      <c r="F105" s="19">
        <v>0.12575646502692181</v>
      </c>
      <c r="G105" s="5">
        <v>38272</v>
      </c>
      <c r="H105" s="21">
        <f t="shared" si="1"/>
        <v>7.6104086358827145E-3</v>
      </c>
    </row>
    <row r="106" spans="1:8" x14ac:dyDescent="0.3">
      <c r="A106" s="2">
        <v>45628</v>
      </c>
      <c r="B106" s="6" t="s">
        <v>7</v>
      </c>
      <c r="C106" s="4">
        <v>1593</v>
      </c>
      <c r="D106" s="4">
        <v>224</v>
      </c>
      <c r="E106" s="4">
        <v>677154</v>
      </c>
      <c r="F106" s="19">
        <v>0.12537731714393299</v>
      </c>
      <c r="G106" s="5">
        <v>52845</v>
      </c>
      <c r="H106" s="21">
        <f t="shared" si="1"/>
        <v>2.0216966893793729E-3</v>
      </c>
    </row>
    <row r="107" spans="1:8" x14ac:dyDescent="0.3">
      <c r="A107" s="2">
        <v>45628</v>
      </c>
      <c r="B107" s="6" t="s">
        <v>10</v>
      </c>
      <c r="C107" s="4">
        <v>5839</v>
      </c>
      <c r="D107" s="4">
        <v>437</v>
      </c>
      <c r="E107" s="4">
        <v>682556</v>
      </c>
      <c r="F107" s="19">
        <v>0.12516113701844536</v>
      </c>
      <c r="G107" s="5">
        <v>16397</v>
      </c>
      <c r="H107" s="21">
        <f t="shared" si="1"/>
        <v>7.9143689309009082E-3</v>
      </c>
    </row>
    <row r="108" spans="1:8" x14ac:dyDescent="0.3">
      <c r="A108" s="2">
        <v>45628</v>
      </c>
      <c r="B108" s="6" t="s">
        <v>7</v>
      </c>
      <c r="C108" s="4">
        <v>8394</v>
      </c>
      <c r="D108" s="4">
        <v>764</v>
      </c>
      <c r="E108" s="4">
        <v>690186</v>
      </c>
      <c r="F108" s="19">
        <v>0.12340086501251991</v>
      </c>
      <c r="G108" s="5">
        <v>42373</v>
      </c>
      <c r="H108" s="21">
        <f t="shared" si="1"/>
        <v>1.1054990973447738E-2</v>
      </c>
    </row>
    <row r="109" spans="1:8" x14ac:dyDescent="0.3">
      <c r="A109" s="2">
        <v>45628</v>
      </c>
      <c r="B109" s="6" t="s">
        <v>9</v>
      </c>
      <c r="C109" s="4">
        <v>4493</v>
      </c>
      <c r="D109" s="4">
        <v>564</v>
      </c>
      <c r="E109" s="4">
        <v>694115</v>
      </c>
      <c r="F109" s="19">
        <v>0.1232223731884058</v>
      </c>
      <c r="G109" s="5">
        <v>45525</v>
      </c>
      <c r="H109" s="21">
        <f t="shared" si="1"/>
        <v>5.660445315257558E-3</v>
      </c>
    </row>
    <row r="110" spans="1:8" x14ac:dyDescent="0.3">
      <c r="A110" s="2">
        <v>45635</v>
      </c>
      <c r="B110" s="6" t="s">
        <v>8</v>
      </c>
      <c r="C110" s="4">
        <v>7164</v>
      </c>
      <c r="D110" s="4">
        <v>522</v>
      </c>
      <c r="E110" s="4">
        <v>700757</v>
      </c>
      <c r="F110" s="19">
        <v>0.12316112924908777</v>
      </c>
      <c r="G110" s="5">
        <v>34570</v>
      </c>
      <c r="H110" s="21">
        <f t="shared" si="1"/>
        <v>9.4783213011072308E-3</v>
      </c>
    </row>
    <row r="111" spans="1:8" x14ac:dyDescent="0.3">
      <c r="A111" s="2">
        <v>45635</v>
      </c>
      <c r="B111" s="6" t="s">
        <v>7</v>
      </c>
      <c r="C111" s="4">
        <v>3672</v>
      </c>
      <c r="D111" s="4">
        <v>211</v>
      </c>
      <c r="E111" s="4">
        <v>704218</v>
      </c>
      <c r="F111" s="19">
        <v>0.1230670679723231</v>
      </c>
      <c r="G111" s="5">
        <v>28284</v>
      </c>
      <c r="H111" s="21">
        <f t="shared" si="1"/>
        <v>4.9146713091684675E-3</v>
      </c>
    </row>
    <row r="112" spans="1:8" x14ac:dyDescent="0.3">
      <c r="A112" s="2">
        <v>45635</v>
      </c>
      <c r="B112" s="6" t="s">
        <v>9</v>
      </c>
      <c r="C112" s="4">
        <v>5200</v>
      </c>
      <c r="D112" s="4">
        <v>410</v>
      </c>
      <c r="E112" s="4">
        <v>709008</v>
      </c>
      <c r="F112" s="19">
        <v>0.12222859965027964</v>
      </c>
      <c r="G112" s="5">
        <v>28994</v>
      </c>
      <c r="H112" s="21">
        <f t="shared" si="1"/>
        <v>6.7559181278631555E-3</v>
      </c>
    </row>
    <row r="113" spans="1:8" x14ac:dyDescent="0.3">
      <c r="A113" s="2">
        <v>45635</v>
      </c>
      <c r="B113" s="6" t="s">
        <v>10</v>
      </c>
      <c r="C113" s="4">
        <v>1016</v>
      </c>
      <c r="D113" s="4">
        <v>67</v>
      </c>
      <c r="E113" s="4">
        <v>709957</v>
      </c>
      <c r="F113" s="19">
        <v>0.12041777068916729</v>
      </c>
      <c r="G113" s="5">
        <v>33284</v>
      </c>
      <c r="H113" s="21">
        <f t="shared" si="1"/>
        <v>1.3367006734210664E-3</v>
      </c>
    </row>
    <row r="114" spans="1:8" x14ac:dyDescent="0.3">
      <c r="A114" s="2">
        <v>45642</v>
      </c>
      <c r="B114" s="6" t="s">
        <v>7</v>
      </c>
      <c r="C114" s="4">
        <v>4191</v>
      </c>
      <c r="D114" s="4">
        <v>599</v>
      </c>
      <c r="E114" s="4">
        <v>713549</v>
      </c>
      <c r="F114" s="19">
        <v>0.11911989702989532</v>
      </c>
      <c r="G114" s="5">
        <v>27833</v>
      </c>
      <c r="H114" s="21">
        <f t="shared" si="1"/>
        <v>5.033992059410076E-3</v>
      </c>
    </row>
    <row r="115" spans="1:8" x14ac:dyDescent="0.3">
      <c r="A115" s="2">
        <v>45642</v>
      </c>
      <c r="B115" s="6" t="s">
        <v>7</v>
      </c>
      <c r="C115" s="4">
        <v>1392</v>
      </c>
      <c r="D115" s="4">
        <v>182</v>
      </c>
      <c r="E115" s="4">
        <v>714759</v>
      </c>
      <c r="F115" s="19">
        <v>0.11896313818253498</v>
      </c>
      <c r="G115" s="5">
        <v>35122</v>
      </c>
      <c r="H115" s="21">
        <f t="shared" si="1"/>
        <v>1.6928782988391892E-3</v>
      </c>
    </row>
    <row r="116" spans="1:8" x14ac:dyDescent="0.3">
      <c r="A116" s="2">
        <v>45642</v>
      </c>
      <c r="B116" s="6" t="s">
        <v>10</v>
      </c>
      <c r="C116" s="4">
        <v>9616</v>
      </c>
      <c r="D116" s="4">
        <v>1089</v>
      </c>
      <c r="E116" s="4">
        <v>723286</v>
      </c>
      <c r="F116" s="19">
        <v>0.1183732198512327</v>
      </c>
      <c r="G116" s="5">
        <v>15017</v>
      </c>
      <c r="H116" s="21">
        <f t="shared" si="1"/>
        <v>1.178925072516266E-2</v>
      </c>
    </row>
    <row r="117" spans="1:8" x14ac:dyDescent="0.3">
      <c r="A117" s="2">
        <v>45642</v>
      </c>
      <c r="B117" s="6" t="s">
        <v>8</v>
      </c>
      <c r="C117" s="4">
        <v>7272</v>
      </c>
      <c r="D117" s="4">
        <v>997</v>
      </c>
      <c r="E117" s="4">
        <v>729561</v>
      </c>
      <c r="F117" s="19">
        <v>0.11749035379446063</v>
      </c>
      <c r="G117" s="5">
        <v>26370</v>
      </c>
      <c r="H117" s="21">
        <f t="shared" si="1"/>
        <v>8.6010628309353167E-3</v>
      </c>
    </row>
    <row r="118" spans="1:8" x14ac:dyDescent="0.3">
      <c r="A118" s="2">
        <v>45649</v>
      </c>
      <c r="B118" s="6" t="s">
        <v>10</v>
      </c>
      <c r="C118" s="4">
        <v>1571</v>
      </c>
      <c r="D118" s="4">
        <v>204</v>
      </c>
      <c r="E118" s="4">
        <v>730928</v>
      </c>
      <c r="F118" s="19">
        <v>0.11647671124580011</v>
      </c>
      <c r="G118" s="5">
        <v>39252</v>
      </c>
      <c r="H118" s="21">
        <f t="shared" si="1"/>
        <v>1.8702252479040344E-3</v>
      </c>
    </row>
    <row r="119" spans="1:8" x14ac:dyDescent="0.3">
      <c r="A119" s="2">
        <v>45649</v>
      </c>
      <c r="B119" s="6" t="s">
        <v>7</v>
      </c>
      <c r="C119" s="4">
        <v>4631</v>
      </c>
      <c r="D119" s="4">
        <v>317</v>
      </c>
      <c r="E119" s="4">
        <v>735242</v>
      </c>
      <c r="F119" s="19">
        <v>0.1153700668263775</v>
      </c>
      <c r="G119" s="5">
        <v>17999</v>
      </c>
      <c r="H119" s="21">
        <f t="shared" si="1"/>
        <v>5.8674558852731479E-3</v>
      </c>
    </row>
    <row r="120" spans="1:8" x14ac:dyDescent="0.3">
      <c r="A120" s="2">
        <v>45649</v>
      </c>
      <c r="B120" s="6" t="s">
        <v>10</v>
      </c>
      <c r="C120" s="4">
        <v>7172</v>
      </c>
      <c r="D120" s="4">
        <v>998</v>
      </c>
      <c r="E120" s="4">
        <v>741416</v>
      </c>
      <c r="F120" s="19">
        <v>0.11443347996671026</v>
      </c>
      <c r="G120" s="5">
        <v>32436</v>
      </c>
      <c r="H120" s="21">
        <f t="shared" si="1"/>
        <v>8.32730882527488E-3</v>
      </c>
    </row>
    <row r="121" spans="1:8" x14ac:dyDescent="0.3">
      <c r="A121" s="2">
        <v>45649</v>
      </c>
      <c r="B121" s="6" t="s">
        <v>9</v>
      </c>
      <c r="C121" s="4">
        <v>8177</v>
      </c>
      <c r="D121" s="4">
        <v>849</v>
      </c>
      <c r="E121" s="4">
        <v>748744</v>
      </c>
      <c r="F121" s="19">
        <v>0.11411164278556117</v>
      </c>
      <c r="G121" s="5">
        <v>52963</v>
      </c>
      <c r="H121" s="21">
        <f t="shared" si="1"/>
        <v>9.7870567243276748E-3</v>
      </c>
    </row>
    <row r="122" spans="1:8" x14ac:dyDescent="0.3">
      <c r="A122" s="2">
        <v>45656</v>
      </c>
      <c r="B122" s="6" t="s">
        <v>10</v>
      </c>
      <c r="C122" s="4">
        <v>9433</v>
      </c>
      <c r="D122" s="4">
        <v>1233</v>
      </c>
      <c r="E122" s="4">
        <v>756944</v>
      </c>
      <c r="F122" s="19">
        <v>0.11407008846704149</v>
      </c>
      <c r="G122" s="5">
        <v>12096</v>
      </c>
      <c r="H122" s="21">
        <f t="shared" si="1"/>
        <v>1.0833033883616226E-2</v>
      </c>
    </row>
    <row r="123" spans="1:8" x14ac:dyDescent="0.3">
      <c r="A123" s="2">
        <v>45656</v>
      </c>
      <c r="B123" s="6" t="s">
        <v>7</v>
      </c>
      <c r="C123" s="4">
        <v>4897</v>
      </c>
      <c r="D123" s="4">
        <v>683</v>
      </c>
      <c r="E123" s="4">
        <v>761158</v>
      </c>
      <c r="F123" s="19">
        <v>0.11355820301337197</v>
      </c>
      <c r="G123" s="5">
        <v>58201</v>
      </c>
      <c r="H123" s="21">
        <f t="shared" si="1"/>
        <v>5.5363012672795921E-3</v>
      </c>
    </row>
    <row r="124" spans="1:8" x14ac:dyDescent="0.3">
      <c r="A124" s="2">
        <v>45656</v>
      </c>
      <c r="B124" s="6" t="s">
        <v>10</v>
      </c>
      <c r="C124" s="4">
        <v>9123</v>
      </c>
      <c r="D124" s="4">
        <v>746</v>
      </c>
      <c r="E124" s="4">
        <v>769535</v>
      </c>
      <c r="F124" s="19">
        <v>0.11328730295182141</v>
      </c>
      <c r="G124" s="5">
        <v>35279</v>
      </c>
      <c r="H124" s="21">
        <f t="shared" si="1"/>
        <v>1.0885794668208723E-2</v>
      </c>
    </row>
    <row r="125" spans="1:8" x14ac:dyDescent="0.3">
      <c r="A125" s="2">
        <v>45656</v>
      </c>
      <c r="B125" s="6" t="s">
        <v>8</v>
      </c>
      <c r="C125" s="4">
        <v>3279</v>
      </c>
      <c r="D125" s="4">
        <v>200</v>
      </c>
      <c r="E125" s="4">
        <v>772614</v>
      </c>
      <c r="F125" s="19">
        <v>0.11313957281984714</v>
      </c>
      <c r="G125" s="5">
        <v>53363</v>
      </c>
      <c r="H125" s="21">
        <f t="shared" si="1"/>
        <v>3.9851724146857288E-3</v>
      </c>
    </row>
    <row r="126" spans="1:8" x14ac:dyDescent="0.3">
      <c r="A126" s="2">
        <v>45663</v>
      </c>
      <c r="B126" s="6" t="s">
        <v>10</v>
      </c>
      <c r="C126" s="4">
        <v>9980</v>
      </c>
      <c r="D126" s="4">
        <v>726</v>
      </c>
      <c r="E126" s="4">
        <v>781868</v>
      </c>
      <c r="F126" s="19">
        <v>0.11301683925623726</v>
      </c>
      <c r="G126" s="5">
        <v>58709</v>
      </c>
      <c r="H126" s="21">
        <f t="shared" si="1"/>
        <v>1.1835757442432739E-2</v>
      </c>
    </row>
    <row r="127" spans="1:8" x14ac:dyDescent="0.3">
      <c r="A127" s="2">
        <v>45663</v>
      </c>
      <c r="B127" s="6" t="s">
        <v>8</v>
      </c>
      <c r="C127" s="4">
        <v>8451</v>
      </c>
      <c r="D127" s="4">
        <v>783</v>
      </c>
      <c r="E127" s="4">
        <v>789536</v>
      </c>
      <c r="F127" s="19">
        <v>0.1127203416948398</v>
      </c>
      <c r="G127" s="5">
        <v>36201</v>
      </c>
      <c r="H127" s="21">
        <f t="shared" si="1"/>
        <v>9.7120333968305442E-3</v>
      </c>
    </row>
    <row r="128" spans="1:8" x14ac:dyDescent="0.3">
      <c r="A128" s="2">
        <v>45663</v>
      </c>
      <c r="B128" s="6" t="s">
        <v>9</v>
      </c>
      <c r="C128" s="4">
        <v>9906</v>
      </c>
      <c r="D128" s="4">
        <v>1305</v>
      </c>
      <c r="E128" s="4">
        <v>798137</v>
      </c>
      <c r="F128" s="19">
        <v>0.1120806492094035</v>
      </c>
      <c r="G128" s="5">
        <v>29715</v>
      </c>
      <c r="H128" s="21">
        <f t="shared" si="1"/>
        <v>1.0776345414383746E-2</v>
      </c>
    </row>
    <row r="129" spans="1:8" x14ac:dyDescent="0.3">
      <c r="A129" s="2">
        <v>45663</v>
      </c>
      <c r="B129" s="6" t="s">
        <v>8</v>
      </c>
      <c r="C129" s="4">
        <v>1775</v>
      </c>
      <c r="D129" s="4">
        <v>241</v>
      </c>
      <c r="E129" s="4">
        <v>799671</v>
      </c>
      <c r="F129" s="19">
        <v>0.11204802282024356</v>
      </c>
      <c r="G129" s="5">
        <v>39309</v>
      </c>
      <c r="H129" s="21">
        <f t="shared" si="1"/>
        <v>1.918288896308607E-3</v>
      </c>
    </row>
    <row r="130" spans="1:8" x14ac:dyDescent="0.3">
      <c r="A130" s="2">
        <v>45670</v>
      </c>
      <c r="B130" s="6" t="s">
        <v>10</v>
      </c>
      <c r="C130" s="4">
        <v>7869</v>
      </c>
      <c r="D130" s="4">
        <v>398</v>
      </c>
      <c r="E130" s="4">
        <v>807142</v>
      </c>
      <c r="F130" s="19">
        <v>0.11153684271636116</v>
      </c>
      <c r="G130" s="5">
        <v>25078</v>
      </c>
      <c r="H130" s="21">
        <f t="shared" si="1"/>
        <v>9.2561160241940079E-3</v>
      </c>
    </row>
    <row r="131" spans="1:8" x14ac:dyDescent="0.3">
      <c r="A131" s="2">
        <v>45670</v>
      </c>
      <c r="B131" s="6" t="s">
        <v>7</v>
      </c>
      <c r="C131" s="4">
        <v>3247</v>
      </c>
      <c r="D131" s="4">
        <v>328</v>
      </c>
      <c r="E131" s="4">
        <v>810061</v>
      </c>
      <c r="F131" s="19">
        <v>0.1113073037723044</v>
      </c>
      <c r="G131" s="5">
        <v>15105</v>
      </c>
      <c r="H131" s="21">
        <f t="shared" ref="H131:H194" si="2">(C131-D131)/E131</f>
        <v>3.6034323341081723E-3</v>
      </c>
    </row>
    <row r="132" spans="1:8" x14ac:dyDescent="0.3">
      <c r="A132" s="2">
        <v>45670</v>
      </c>
      <c r="B132" s="6" t="s">
        <v>8</v>
      </c>
      <c r="C132" s="4">
        <v>8088</v>
      </c>
      <c r="D132" s="4">
        <v>742</v>
      </c>
      <c r="E132" s="4">
        <v>817407</v>
      </c>
      <c r="F132" s="19">
        <v>0.11093962825047776</v>
      </c>
      <c r="G132" s="5">
        <v>39312</v>
      </c>
      <c r="H132" s="21">
        <f t="shared" si="2"/>
        <v>8.9869550909155421E-3</v>
      </c>
    </row>
    <row r="133" spans="1:8" x14ac:dyDescent="0.3">
      <c r="A133" s="2">
        <v>45670</v>
      </c>
      <c r="B133" s="6" t="s">
        <v>9</v>
      </c>
      <c r="C133" s="4">
        <v>1078</v>
      </c>
      <c r="D133" s="4">
        <v>77</v>
      </c>
      <c r="E133" s="4">
        <v>818408</v>
      </c>
      <c r="F133" s="19">
        <v>0.11067297440650634</v>
      </c>
      <c r="G133" s="5">
        <v>12839</v>
      </c>
      <c r="H133" s="21">
        <f t="shared" si="2"/>
        <v>1.2231063234963489E-3</v>
      </c>
    </row>
    <row r="134" spans="1:8" x14ac:dyDescent="0.3">
      <c r="A134" s="2">
        <v>45677</v>
      </c>
      <c r="B134" s="6" t="s">
        <v>8</v>
      </c>
      <c r="C134" s="4">
        <v>9080</v>
      </c>
      <c r="D134" s="4">
        <v>562</v>
      </c>
      <c r="E134" s="4">
        <v>826926</v>
      </c>
      <c r="F134" s="19">
        <v>0.11062418453631864</v>
      </c>
      <c r="G134" s="5">
        <v>13384</v>
      </c>
      <c r="H134" s="21">
        <f t="shared" si="2"/>
        <v>1.0300800797169276E-2</v>
      </c>
    </row>
    <row r="135" spans="1:8" x14ac:dyDescent="0.3">
      <c r="A135" s="2">
        <v>45677</v>
      </c>
      <c r="B135" s="6" t="s">
        <v>8</v>
      </c>
      <c r="C135" s="4">
        <v>8099</v>
      </c>
      <c r="D135" s="4">
        <v>678</v>
      </c>
      <c r="E135" s="4">
        <v>834347</v>
      </c>
      <c r="F135" s="19">
        <v>0.11060049328031409</v>
      </c>
      <c r="G135" s="5">
        <v>53619</v>
      </c>
      <c r="H135" s="21">
        <f t="shared" si="2"/>
        <v>8.8943808751035247E-3</v>
      </c>
    </row>
    <row r="136" spans="1:8" x14ac:dyDescent="0.3">
      <c r="A136" s="2">
        <v>45677</v>
      </c>
      <c r="B136" s="6" t="s">
        <v>8</v>
      </c>
      <c r="C136" s="4">
        <v>4926</v>
      </c>
      <c r="D136" s="4">
        <v>710</v>
      </c>
      <c r="E136" s="4">
        <v>838563</v>
      </c>
      <c r="F136" s="19">
        <v>0.1100083174187193</v>
      </c>
      <c r="G136" s="5">
        <v>52821</v>
      </c>
      <c r="H136" s="21">
        <f t="shared" si="2"/>
        <v>5.0276484891415433E-3</v>
      </c>
    </row>
    <row r="137" spans="1:8" x14ac:dyDescent="0.3">
      <c r="A137" s="2">
        <v>45677</v>
      </c>
      <c r="B137" s="6" t="s">
        <v>9</v>
      </c>
      <c r="C137" s="4">
        <v>8340</v>
      </c>
      <c r="D137" s="4">
        <v>686</v>
      </c>
      <c r="E137" s="4">
        <v>846217</v>
      </c>
      <c r="F137" s="19">
        <v>0.10978718103506099</v>
      </c>
      <c r="G137" s="5">
        <v>23493</v>
      </c>
      <c r="H137" s="21">
        <f t="shared" si="2"/>
        <v>9.0449612806171465E-3</v>
      </c>
    </row>
    <row r="138" spans="1:8" x14ac:dyDescent="0.3">
      <c r="A138" s="2">
        <v>45684</v>
      </c>
      <c r="B138" s="6" t="s">
        <v>10</v>
      </c>
      <c r="C138" s="4">
        <v>8083</v>
      </c>
      <c r="D138" s="4">
        <v>823</v>
      </c>
      <c r="E138" s="4">
        <v>853477</v>
      </c>
      <c r="F138" s="19">
        <v>0.10874593727575872</v>
      </c>
      <c r="G138" s="5">
        <v>27069</v>
      </c>
      <c r="H138" s="21">
        <f t="shared" si="2"/>
        <v>8.5063803711172073E-3</v>
      </c>
    </row>
    <row r="139" spans="1:8" x14ac:dyDescent="0.3">
      <c r="A139" s="2">
        <v>45684</v>
      </c>
      <c r="B139" s="6" t="s">
        <v>8</v>
      </c>
      <c r="C139" s="4">
        <v>7230</v>
      </c>
      <c r="D139" s="4">
        <v>869</v>
      </c>
      <c r="E139" s="4">
        <v>859838</v>
      </c>
      <c r="F139" s="19">
        <v>0.10871899083624094</v>
      </c>
      <c r="G139" s="5">
        <v>56907</v>
      </c>
      <c r="H139" s="21">
        <f t="shared" si="2"/>
        <v>7.397905186791E-3</v>
      </c>
    </row>
    <row r="140" spans="1:8" x14ac:dyDescent="0.3">
      <c r="A140" s="2">
        <v>45684</v>
      </c>
      <c r="B140" s="6" t="s">
        <v>8</v>
      </c>
      <c r="C140" s="4">
        <v>5940</v>
      </c>
      <c r="D140" s="4">
        <v>512</v>
      </c>
      <c r="E140" s="4">
        <v>865266</v>
      </c>
      <c r="F140" s="19">
        <v>0.10864742759968526</v>
      </c>
      <c r="G140" s="5">
        <v>17531</v>
      </c>
      <c r="H140" s="21">
        <f t="shared" si="2"/>
        <v>6.2732154042803023E-3</v>
      </c>
    </row>
    <row r="141" spans="1:8" x14ac:dyDescent="0.3">
      <c r="A141" s="2">
        <v>45684</v>
      </c>
      <c r="B141" s="6" t="s">
        <v>7</v>
      </c>
      <c r="C141" s="4">
        <v>4271</v>
      </c>
      <c r="D141" s="4">
        <v>628</v>
      </c>
      <c r="E141" s="4">
        <v>868909</v>
      </c>
      <c r="F141" s="19">
        <v>0.10829293628808864</v>
      </c>
      <c r="G141" s="5">
        <v>47051</v>
      </c>
      <c r="H141" s="21">
        <f t="shared" si="2"/>
        <v>4.1926139561219876E-3</v>
      </c>
    </row>
    <row r="142" spans="1:8" x14ac:dyDescent="0.3">
      <c r="A142" s="2">
        <v>45691</v>
      </c>
      <c r="B142" s="6" t="s">
        <v>9</v>
      </c>
      <c r="C142" s="4">
        <v>4456</v>
      </c>
      <c r="D142" s="4">
        <v>651</v>
      </c>
      <c r="E142" s="4">
        <v>872714</v>
      </c>
      <c r="F142" s="19">
        <v>0.1081177506528208</v>
      </c>
      <c r="G142" s="5">
        <v>17736</v>
      </c>
      <c r="H142" s="21">
        <f t="shared" si="2"/>
        <v>4.3599621410908961E-3</v>
      </c>
    </row>
    <row r="143" spans="1:8" x14ac:dyDescent="0.3">
      <c r="A143" s="2">
        <v>45691</v>
      </c>
      <c r="B143" s="6" t="s">
        <v>8</v>
      </c>
      <c r="C143" s="4">
        <v>8788</v>
      </c>
      <c r="D143" s="4">
        <v>660</v>
      </c>
      <c r="E143" s="4">
        <v>880842</v>
      </c>
      <c r="F143" s="19">
        <v>0.10803076130152314</v>
      </c>
      <c r="G143" s="5">
        <v>17710</v>
      </c>
      <c r="H143" s="21">
        <f t="shared" si="2"/>
        <v>9.2275345635199051E-3</v>
      </c>
    </row>
    <row r="144" spans="1:8" x14ac:dyDescent="0.3">
      <c r="A144" s="2">
        <v>45691</v>
      </c>
      <c r="B144" s="6" t="s">
        <v>9</v>
      </c>
      <c r="C144" s="4">
        <v>9599</v>
      </c>
      <c r="D144" s="4">
        <v>957</v>
      </c>
      <c r="E144" s="4">
        <v>889484</v>
      </c>
      <c r="F144" s="19">
        <v>0.10688207899729776</v>
      </c>
      <c r="G144" s="5">
        <v>11619</v>
      </c>
      <c r="H144" s="21">
        <f t="shared" si="2"/>
        <v>9.7157453085159485E-3</v>
      </c>
    </row>
    <row r="145" spans="1:8" x14ac:dyDescent="0.3">
      <c r="A145" s="2">
        <v>45691</v>
      </c>
      <c r="B145" s="6" t="s">
        <v>8</v>
      </c>
      <c r="C145" s="4">
        <v>8650</v>
      </c>
      <c r="D145" s="4">
        <v>692</v>
      </c>
      <c r="E145" s="4">
        <v>897442</v>
      </c>
      <c r="F145" s="19">
        <v>0.10670847106916652</v>
      </c>
      <c r="G145" s="5">
        <v>23975</v>
      </c>
      <c r="H145" s="21">
        <f t="shared" si="2"/>
        <v>8.8674254157928862E-3</v>
      </c>
    </row>
    <row r="146" spans="1:8" x14ac:dyDescent="0.3">
      <c r="A146" s="2">
        <v>45698</v>
      </c>
      <c r="B146" s="6" t="s">
        <v>10</v>
      </c>
      <c r="C146" s="4">
        <v>3711</v>
      </c>
      <c r="D146" s="4">
        <v>291</v>
      </c>
      <c r="E146" s="4">
        <v>900862</v>
      </c>
      <c r="F146" s="19">
        <v>0.10659122031883833</v>
      </c>
      <c r="G146" s="5">
        <v>55603</v>
      </c>
      <c r="H146" s="21">
        <f t="shared" si="2"/>
        <v>3.7963639269943676E-3</v>
      </c>
    </row>
    <row r="147" spans="1:8" x14ac:dyDescent="0.3">
      <c r="A147" s="2">
        <v>45698</v>
      </c>
      <c r="B147" s="6" t="s">
        <v>10</v>
      </c>
      <c r="C147" s="4">
        <v>2668</v>
      </c>
      <c r="D147" s="4">
        <v>143</v>
      </c>
      <c r="E147" s="4">
        <v>903387</v>
      </c>
      <c r="F147" s="19">
        <v>0.10596732410380315</v>
      </c>
      <c r="G147" s="5">
        <v>33252</v>
      </c>
      <c r="H147" s="21">
        <f t="shared" si="2"/>
        <v>2.795036900021807E-3</v>
      </c>
    </row>
    <row r="148" spans="1:8" x14ac:dyDescent="0.3">
      <c r="A148" s="2">
        <v>45698</v>
      </c>
      <c r="B148" s="6" t="s">
        <v>8</v>
      </c>
      <c r="C148" s="4">
        <v>1147</v>
      </c>
      <c r="D148" s="4">
        <v>127</v>
      </c>
      <c r="E148" s="4">
        <v>904407</v>
      </c>
      <c r="F148" s="19">
        <v>0.10512949426976577</v>
      </c>
      <c r="G148" s="5">
        <v>25261</v>
      </c>
      <c r="H148" s="21">
        <f t="shared" si="2"/>
        <v>1.1278108196862695E-3</v>
      </c>
    </row>
    <row r="149" spans="1:8" x14ac:dyDescent="0.3">
      <c r="A149" s="2">
        <v>45698</v>
      </c>
      <c r="B149" s="6" t="s">
        <v>10</v>
      </c>
      <c r="C149" s="4">
        <v>7420</v>
      </c>
      <c r="D149" s="4">
        <v>743</v>
      </c>
      <c r="E149" s="4">
        <v>911084</v>
      </c>
      <c r="F149" s="19">
        <v>0.10364532397553165</v>
      </c>
      <c r="G149" s="5">
        <v>11431</v>
      </c>
      <c r="H149" s="21">
        <f t="shared" si="2"/>
        <v>7.3286327056561193E-3</v>
      </c>
    </row>
    <row r="150" spans="1:8" x14ac:dyDescent="0.3">
      <c r="A150" s="2">
        <v>45705</v>
      </c>
      <c r="B150" s="6" t="s">
        <v>8</v>
      </c>
      <c r="C150" s="4">
        <v>1365</v>
      </c>
      <c r="D150" s="4">
        <v>75</v>
      </c>
      <c r="E150" s="4">
        <v>912374</v>
      </c>
      <c r="F150" s="19">
        <v>0.10362355549205277</v>
      </c>
      <c r="G150" s="5">
        <v>19067</v>
      </c>
      <c r="H150" s="21">
        <f t="shared" si="2"/>
        <v>1.4138938637006315E-3</v>
      </c>
    </row>
    <row r="151" spans="1:8" x14ac:dyDescent="0.3">
      <c r="A151" s="2">
        <v>45705</v>
      </c>
      <c r="B151" s="6" t="s">
        <v>10</v>
      </c>
      <c r="C151" s="4">
        <v>5531</v>
      </c>
      <c r="D151" s="4">
        <v>430</v>
      </c>
      <c r="E151" s="4">
        <v>917475</v>
      </c>
      <c r="F151" s="19">
        <v>0.10312963124400662</v>
      </c>
      <c r="G151" s="5">
        <v>47481</v>
      </c>
      <c r="H151" s="21">
        <f t="shared" si="2"/>
        <v>5.5598245183792472E-3</v>
      </c>
    </row>
    <row r="152" spans="1:8" x14ac:dyDescent="0.3">
      <c r="A152" s="2">
        <v>45705</v>
      </c>
      <c r="B152" s="6" t="s">
        <v>7</v>
      </c>
      <c r="C152" s="4">
        <v>6330</v>
      </c>
      <c r="D152" s="4">
        <v>891</v>
      </c>
      <c r="E152" s="4">
        <v>922914</v>
      </c>
      <c r="F152" s="19">
        <v>0.10287713460879777</v>
      </c>
      <c r="G152" s="5">
        <v>37037</v>
      </c>
      <c r="H152" s="21">
        <f t="shared" si="2"/>
        <v>5.8932901657142486E-3</v>
      </c>
    </row>
    <row r="153" spans="1:8" x14ac:dyDescent="0.3">
      <c r="A153" s="2">
        <v>45705</v>
      </c>
      <c r="B153" s="6" t="s">
        <v>7</v>
      </c>
      <c r="C153" s="4">
        <v>6510</v>
      </c>
      <c r="D153" s="4">
        <v>481</v>
      </c>
      <c r="E153" s="4">
        <v>928943</v>
      </c>
      <c r="F153" s="19">
        <v>0.10217809465669957</v>
      </c>
      <c r="G153" s="5">
        <v>19557</v>
      </c>
      <c r="H153" s="21">
        <f t="shared" si="2"/>
        <v>6.4901721634158397E-3</v>
      </c>
    </row>
    <row r="154" spans="1:8" x14ac:dyDescent="0.3">
      <c r="A154" s="2">
        <v>45712</v>
      </c>
      <c r="B154" s="6" t="s">
        <v>7</v>
      </c>
      <c r="C154" s="4">
        <v>9754</v>
      </c>
      <c r="D154" s="4">
        <v>629</v>
      </c>
      <c r="E154" s="4">
        <v>938068</v>
      </c>
      <c r="F154" s="19">
        <v>0.10099684784869674</v>
      </c>
      <c r="G154" s="5">
        <v>19435</v>
      </c>
      <c r="H154" s="21">
        <f t="shared" si="2"/>
        <v>9.7274398018054129E-3</v>
      </c>
    </row>
    <row r="155" spans="1:8" x14ac:dyDescent="0.3">
      <c r="A155" s="2">
        <v>45712</v>
      </c>
      <c r="B155" s="6" t="s">
        <v>9</v>
      </c>
      <c r="C155" s="4">
        <v>9964</v>
      </c>
      <c r="D155" s="4">
        <v>985</v>
      </c>
      <c r="E155" s="4">
        <v>947047</v>
      </c>
      <c r="F155" s="19">
        <v>0.10041825619340902</v>
      </c>
      <c r="G155" s="5">
        <v>47766</v>
      </c>
      <c r="H155" s="21">
        <f t="shared" si="2"/>
        <v>9.4810500429228957E-3</v>
      </c>
    </row>
    <row r="156" spans="1:8" x14ac:dyDescent="0.3">
      <c r="A156" s="2">
        <v>45712</v>
      </c>
      <c r="B156" s="6" t="s">
        <v>9</v>
      </c>
      <c r="C156" s="4">
        <v>7493</v>
      </c>
      <c r="D156" s="4">
        <v>1113</v>
      </c>
      <c r="E156" s="4">
        <v>953427</v>
      </c>
      <c r="F156" s="19">
        <v>9.9871818060284834E-2</v>
      </c>
      <c r="G156" s="5">
        <v>10162</v>
      </c>
      <c r="H156" s="21">
        <f t="shared" si="2"/>
        <v>6.6916502259743013E-3</v>
      </c>
    </row>
    <row r="157" spans="1:8" x14ac:dyDescent="0.3">
      <c r="A157" s="2">
        <v>45712</v>
      </c>
      <c r="B157" s="6" t="s">
        <v>7</v>
      </c>
      <c r="C157" s="4">
        <v>6439</v>
      </c>
      <c r="D157" s="4">
        <v>477</v>
      </c>
      <c r="E157" s="4">
        <v>959389</v>
      </c>
      <c r="F157" s="19">
        <v>9.9723939463533293E-2</v>
      </c>
      <c r="G157" s="5">
        <v>44742</v>
      </c>
      <c r="H157" s="21">
        <f t="shared" si="2"/>
        <v>6.2143718554204808E-3</v>
      </c>
    </row>
    <row r="158" spans="1:8" x14ac:dyDescent="0.3">
      <c r="A158" s="2">
        <v>45719</v>
      </c>
      <c r="B158" s="6" t="s">
        <v>9</v>
      </c>
      <c r="C158" s="4">
        <v>7511</v>
      </c>
      <c r="D158" s="4">
        <v>880</v>
      </c>
      <c r="E158" s="4">
        <v>966020</v>
      </c>
      <c r="F158" s="19">
        <v>9.9518533235992648E-2</v>
      </c>
      <c r="G158" s="5">
        <v>29675</v>
      </c>
      <c r="H158" s="21">
        <f t="shared" si="2"/>
        <v>6.8642471170369144E-3</v>
      </c>
    </row>
    <row r="159" spans="1:8" x14ac:dyDescent="0.3">
      <c r="A159" s="2">
        <v>45719</v>
      </c>
      <c r="B159" s="6" t="s">
        <v>10</v>
      </c>
      <c r="C159" s="4">
        <v>8504</v>
      </c>
      <c r="D159" s="4">
        <v>1072</v>
      </c>
      <c r="E159" s="4">
        <v>973452</v>
      </c>
      <c r="F159" s="19">
        <v>9.8433269628921807E-2</v>
      </c>
      <c r="G159" s="5">
        <v>18461</v>
      </c>
      <c r="H159" s="21">
        <f t="shared" si="2"/>
        <v>7.6346856342171983E-3</v>
      </c>
    </row>
    <row r="160" spans="1:8" x14ac:dyDescent="0.3">
      <c r="A160" s="2">
        <v>45719</v>
      </c>
      <c r="B160" s="6" t="s">
        <v>8</v>
      </c>
      <c r="C160" s="4">
        <v>2246</v>
      </c>
      <c r="D160" s="4">
        <v>165</v>
      </c>
      <c r="E160" s="4">
        <v>975533</v>
      </c>
      <c r="F160" s="19">
        <v>9.8006623758045364E-2</v>
      </c>
      <c r="G160" s="5">
        <v>27015</v>
      </c>
      <c r="H160" s="21">
        <f t="shared" si="2"/>
        <v>2.1331928289458173E-3</v>
      </c>
    </row>
    <row r="161" spans="1:8" x14ac:dyDescent="0.3">
      <c r="A161" s="2">
        <v>45719</v>
      </c>
      <c r="B161" s="6" t="s">
        <v>8</v>
      </c>
      <c r="C161" s="4">
        <v>4839</v>
      </c>
      <c r="D161" s="4">
        <v>594</v>
      </c>
      <c r="E161" s="4">
        <v>979778</v>
      </c>
      <c r="F161" s="19">
        <v>9.757303670448611E-2</v>
      </c>
      <c r="G161" s="5">
        <v>42591</v>
      </c>
      <c r="H161" s="21">
        <f t="shared" si="2"/>
        <v>4.3326141227910814E-3</v>
      </c>
    </row>
    <row r="162" spans="1:8" x14ac:dyDescent="0.3">
      <c r="A162" s="2">
        <v>45726</v>
      </c>
      <c r="B162" s="6" t="s">
        <v>8</v>
      </c>
      <c r="C162" s="4">
        <v>9551</v>
      </c>
      <c r="D162" s="4">
        <v>828</v>
      </c>
      <c r="E162" s="4">
        <v>988501</v>
      </c>
      <c r="F162" s="19">
        <v>9.6549863964724647E-2</v>
      </c>
      <c r="G162" s="5">
        <v>38047</v>
      </c>
      <c r="H162" s="21">
        <f t="shared" si="2"/>
        <v>8.8244726105487E-3</v>
      </c>
    </row>
    <row r="163" spans="1:8" x14ac:dyDescent="0.3">
      <c r="A163" s="2">
        <v>45726</v>
      </c>
      <c r="B163" s="6" t="s">
        <v>7</v>
      </c>
      <c r="C163" s="4">
        <v>3376</v>
      </c>
      <c r="D163" s="4">
        <v>382</v>
      </c>
      <c r="E163" s="4">
        <v>991495</v>
      </c>
      <c r="F163" s="19">
        <v>9.6505955607260427E-2</v>
      </c>
      <c r="G163" s="5">
        <v>44782</v>
      </c>
      <c r="H163" s="21">
        <f t="shared" si="2"/>
        <v>3.0196823988018094E-3</v>
      </c>
    </row>
    <row r="164" spans="1:8" x14ac:dyDescent="0.3">
      <c r="A164" s="2">
        <v>45726</v>
      </c>
      <c r="B164" s="6" t="s">
        <v>9</v>
      </c>
      <c r="C164" s="4">
        <v>4009</v>
      </c>
      <c r="D164" s="4">
        <v>454</v>
      </c>
      <c r="E164" s="4">
        <v>995050</v>
      </c>
      <c r="F164" s="19">
        <v>9.6286399015927546E-2</v>
      </c>
      <c r="G164" s="5">
        <v>19833</v>
      </c>
      <c r="H164" s="21">
        <f t="shared" si="2"/>
        <v>3.5726847897090599E-3</v>
      </c>
    </row>
    <row r="165" spans="1:8" x14ac:dyDescent="0.3">
      <c r="A165" s="2">
        <v>45726</v>
      </c>
      <c r="B165" s="6" t="s">
        <v>10</v>
      </c>
      <c r="C165" s="4">
        <v>2827</v>
      </c>
      <c r="D165" s="4">
        <v>292</v>
      </c>
      <c r="E165" s="4">
        <v>997585</v>
      </c>
      <c r="F165" s="19">
        <v>9.6202058674637797E-2</v>
      </c>
      <c r="G165" s="5">
        <v>17896</v>
      </c>
      <c r="H165" s="21">
        <f t="shared" si="2"/>
        <v>2.5411368454818384E-3</v>
      </c>
    </row>
    <row r="166" spans="1:8" x14ac:dyDescent="0.3">
      <c r="A166" s="2">
        <v>45733</v>
      </c>
      <c r="B166" s="6" t="s">
        <v>10</v>
      </c>
      <c r="C166" s="4">
        <v>7979</v>
      </c>
      <c r="D166" s="4">
        <v>470</v>
      </c>
      <c r="E166" s="4">
        <v>1005094</v>
      </c>
      <c r="F166" s="19">
        <v>9.5952649244304716E-2</v>
      </c>
      <c r="G166" s="5">
        <v>42972</v>
      </c>
      <c r="H166" s="21">
        <f t="shared" si="2"/>
        <v>7.4709430162750948E-3</v>
      </c>
    </row>
    <row r="167" spans="1:8" x14ac:dyDescent="0.3">
      <c r="A167" s="2">
        <v>45733</v>
      </c>
      <c r="B167" s="6" t="s">
        <v>7</v>
      </c>
      <c r="C167" s="4">
        <v>9569</v>
      </c>
      <c r="D167" s="4">
        <v>1277</v>
      </c>
      <c r="E167" s="4">
        <v>1013386</v>
      </c>
      <c r="F167" s="19">
        <v>9.2062933989628198E-2</v>
      </c>
      <c r="G167" s="5">
        <v>59733</v>
      </c>
      <c r="H167" s="21">
        <f t="shared" si="2"/>
        <v>8.1824694637581338E-3</v>
      </c>
    </row>
    <row r="168" spans="1:8" x14ac:dyDescent="0.3">
      <c r="A168" s="2">
        <v>45733</v>
      </c>
      <c r="B168" s="6" t="s">
        <v>10</v>
      </c>
      <c r="C168" s="4">
        <v>5285</v>
      </c>
      <c r="D168" s="4">
        <v>433</v>
      </c>
      <c r="E168" s="4">
        <v>1018238</v>
      </c>
      <c r="F168" s="19">
        <v>9.0574975498203203E-2</v>
      </c>
      <c r="G168" s="5">
        <v>51800</v>
      </c>
      <c r="H168" s="21">
        <f t="shared" si="2"/>
        <v>4.7650942117658151E-3</v>
      </c>
    </row>
    <row r="169" spans="1:8" x14ac:dyDescent="0.3">
      <c r="A169" s="2">
        <v>45733</v>
      </c>
      <c r="B169" s="6" t="s">
        <v>10</v>
      </c>
      <c r="C169" s="4">
        <v>7910</v>
      </c>
      <c r="D169" s="4">
        <v>543</v>
      </c>
      <c r="E169" s="4">
        <v>1025605</v>
      </c>
      <c r="F169" s="19">
        <v>9.0547119787900698E-2</v>
      </c>
      <c r="G169" s="5">
        <v>40508</v>
      </c>
      <c r="H169" s="21">
        <f t="shared" si="2"/>
        <v>7.183077305590359E-3</v>
      </c>
    </row>
    <row r="170" spans="1:8" x14ac:dyDescent="0.3">
      <c r="A170" s="2">
        <v>45740</v>
      </c>
      <c r="B170" s="6" t="s">
        <v>10</v>
      </c>
      <c r="C170" s="4">
        <v>9561</v>
      </c>
      <c r="D170" s="4">
        <v>517</v>
      </c>
      <c r="E170" s="4">
        <v>1034649</v>
      </c>
      <c r="F170" s="19">
        <v>8.8536413153116805E-2</v>
      </c>
      <c r="G170" s="5">
        <v>15347</v>
      </c>
      <c r="H170" s="21">
        <f t="shared" si="2"/>
        <v>8.741128633961856E-3</v>
      </c>
    </row>
    <row r="171" spans="1:8" x14ac:dyDescent="0.3">
      <c r="A171" s="2">
        <v>45740</v>
      </c>
      <c r="B171" s="6" t="s">
        <v>10</v>
      </c>
      <c r="C171" s="4">
        <v>3196</v>
      </c>
      <c r="D171" s="4">
        <v>348</v>
      </c>
      <c r="E171" s="4">
        <v>1037497</v>
      </c>
      <c r="F171" s="19">
        <v>8.8356499266606131E-2</v>
      </c>
      <c r="G171" s="5">
        <v>40314</v>
      </c>
      <c r="H171" s="21">
        <f t="shared" si="2"/>
        <v>2.7450681785103955E-3</v>
      </c>
    </row>
    <row r="172" spans="1:8" x14ac:dyDescent="0.3">
      <c r="A172" s="2">
        <v>45740</v>
      </c>
      <c r="B172" s="6" t="s">
        <v>9</v>
      </c>
      <c r="C172" s="4">
        <v>4747</v>
      </c>
      <c r="D172" s="4">
        <v>558</v>
      </c>
      <c r="E172" s="4">
        <v>1041686</v>
      </c>
      <c r="F172" s="19">
        <v>8.7989619657773091E-2</v>
      </c>
      <c r="G172" s="5">
        <v>12643</v>
      </c>
      <c r="H172" s="21">
        <f t="shared" si="2"/>
        <v>4.021365363458854E-3</v>
      </c>
    </row>
    <row r="173" spans="1:8" x14ac:dyDescent="0.3">
      <c r="A173" s="2">
        <v>45740</v>
      </c>
      <c r="B173" s="6" t="s">
        <v>10</v>
      </c>
      <c r="C173" s="4">
        <v>9843</v>
      </c>
      <c r="D173" s="4">
        <v>508</v>
      </c>
      <c r="E173" s="4">
        <v>1051021</v>
      </c>
      <c r="F173" s="19">
        <v>8.7845440494590421E-2</v>
      </c>
      <c r="G173" s="5">
        <v>50785</v>
      </c>
      <c r="H173" s="21">
        <f t="shared" si="2"/>
        <v>8.8818396587699005E-3</v>
      </c>
    </row>
    <row r="174" spans="1:8" x14ac:dyDescent="0.3">
      <c r="A174" s="2">
        <v>45747</v>
      </c>
      <c r="B174" s="6" t="s">
        <v>8</v>
      </c>
      <c r="C174" s="4">
        <v>6978</v>
      </c>
      <c r="D174" s="4">
        <v>706</v>
      </c>
      <c r="E174" s="4">
        <v>1057293</v>
      </c>
      <c r="F174" s="19">
        <v>8.745770938316369E-2</v>
      </c>
      <c r="G174" s="5">
        <v>28681</v>
      </c>
      <c r="H174" s="21">
        <f t="shared" si="2"/>
        <v>5.9321304501212058E-3</v>
      </c>
    </row>
    <row r="175" spans="1:8" x14ac:dyDescent="0.3">
      <c r="A175" s="2">
        <v>45747</v>
      </c>
      <c r="B175" s="6" t="s">
        <v>7</v>
      </c>
      <c r="C175" s="4">
        <v>6607</v>
      </c>
      <c r="D175" s="4">
        <v>479</v>
      </c>
      <c r="E175" s="4">
        <v>1063421</v>
      </c>
      <c r="F175" s="19">
        <v>8.7198174322732622E-2</v>
      </c>
      <c r="G175" s="5">
        <v>48328</v>
      </c>
      <c r="H175" s="21">
        <f t="shared" si="2"/>
        <v>5.7625343114345116E-3</v>
      </c>
    </row>
    <row r="176" spans="1:8" x14ac:dyDescent="0.3">
      <c r="A176" s="2">
        <v>45747</v>
      </c>
      <c r="B176" s="6" t="s">
        <v>9</v>
      </c>
      <c r="C176" s="4">
        <v>1769</v>
      </c>
      <c r="D176" s="4">
        <v>202</v>
      </c>
      <c r="E176" s="4">
        <v>1064988</v>
      </c>
      <c r="F176" s="19">
        <v>8.7174933993784898E-2</v>
      </c>
      <c r="G176" s="5">
        <v>25892</v>
      </c>
      <c r="H176" s="21">
        <f t="shared" si="2"/>
        <v>1.4713780812553757E-3</v>
      </c>
    </row>
    <row r="177" spans="1:8" x14ac:dyDescent="0.3">
      <c r="A177" s="2">
        <v>45747</v>
      </c>
      <c r="B177" s="6" t="s">
        <v>10</v>
      </c>
      <c r="C177" s="4">
        <v>1780</v>
      </c>
      <c r="D177" s="4">
        <v>120</v>
      </c>
      <c r="E177" s="4">
        <v>1066648</v>
      </c>
      <c r="F177" s="19">
        <v>8.6151909163708074E-2</v>
      </c>
      <c r="G177" s="5">
        <v>57299</v>
      </c>
      <c r="H177" s="21">
        <f t="shared" si="2"/>
        <v>1.55627723485161E-3</v>
      </c>
    </row>
    <row r="178" spans="1:8" x14ac:dyDescent="0.3">
      <c r="A178" s="2">
        <v>45754</v>
      </c>
      <c r="B178" s="6" t="s">
        <v>9</v>
      </c>
      <c r="C178" s="4">
        <v>7303</v>
      </c>
      <c r="D178" s="4">
        <v>869</v>
      </c>
      <c r="E178" s="4">
        <v>1073082</v>
      </c>
      <c r="F178" s="19">
        <v>8.6113266097750191E-2</v>
      </c>
      <c r="G178" s="5">
        <v>27073</v>
      </c>
      <c r="H178" s="21">
        <f t="shared" si="2"/>
        <v>5.9958139266151145E-3</v>
      </c>
    </row>
    <row r="179" spans="1:8" x14ac:dyDescent="0.3">
      <c r="A179" s="2">
        <v>45754</v>
      </c>
      <c r="B179" s="6" t="s">
        <v>10</v>
      </c>
      <c r="C179" s="4">
        <v>4983</v>
      </c>
      <c r="D179" s="4">
        <v>441</v>
      </c>
      <c r="E179" s="4">
        <v>1077624</v>
      </c>
      <c r="F179" s="19">
        <v>8.5718231771681114E-2</v>
      </c>
      <c r="G179" s="5">
        <v>46768</v>
      </c>
      <c r="H179" s="21">
        <f t="shared" si="2"/>
        <v>4.2148281775461569E-3</v>
      </c>
    </row>
    <row r="180" spans="1:8" x14ac:dyDescent="0.3">
      <c r="A180" s="2">
        <v>45754</v>
      </c>
      <c r="B180" s="6" t="s">
        <v>8</v>
      </c>
      <c r="C180" s="4">
        <v>9714</v>
      </c>
      <c r="D180" s="4">
        <v>1395</v>
      </c>
      <c r="E180" s="4">
        <v>1085943</v>
      </c>
      <c r="F180" s="19">
        <v>8.5321147219813445E-2</v>
      </c>
      <c r="G180" s="5">
        <v>40682</v>
      </c>
      <c r="H180" s="21">
        <f t="shared" si="2"/>
        <v>7.6606230713766746E-3</v>
      </c>
    </row>
    <row r="181" spans="1:8" x14ac:dyDescent="0.3">
      <c r="A181" s="2">
        <v>45754</v>
      </c>
      <c r="B181" s="6" t="s">
        <v>7</v>
      </c>
      <c r="C181" s="4">
        <v>1521</v>
      </c>
      <c r="D181" s="4">
        <v>96</v>
      </c>
      <c r="E181" s="4">
        <v>1087368</v>
      </c>
      <c r="F181" s="19">
        <v>8.5309568769905988E-2</v>
      </c>
      <c r="G181" s="5">
        <v>42262</v>
      </c>
      <c r="H181" s="21">
        <f t="shared" si="2"/>
        <v>1.3105038956452645E-3</v>
      </c>
    </row>
    <row r="182" spans="1:8" x14ac:dyDescent="0.3">
      <c r="A182" s="2">
        <v>45761</v>
      </c>
      <c r="B182" s="6" t="s">
        <v>10</v>
      </c>
      <c r="C182" s="4">
        <v>8569</v>
      </c>
      <c r="D182" s="4">
        <v>720</v>
      </c>
      <c r="E182" s="4">
        <v>1095217</v>
      </c>
      <c r="F182" s="19">
        <v>8.5238674146441498E-2</v>
      </c>
      <c r="G182" s="5">
        <v>41358</v>
      </c>
      <c r="H182" s="21">
        <f t="shared" si="2"/>
        <v>7.1666162961312686E-3</v>
      </c>
    </row>
    <row r="183" spans="1:8" x14ac:dyDescent="0.3">
      <c r="A183" s="2">
        <v>45761</v>
      </c>
      <c r="B183" s="6" t="s">
        <v>10</v>
      </c>
      <c r="C183" s="4">
        <v>6784</v>
      </c>
      <c r="D183" s="4">
        <v>416</v>
      </c>
      <c r="E183" s="4">
        <v>1101585</v>
      </c>
      <c r="F183" s="19">
        <v>8.4888593282341204E-2</v>
      </c>
      <c r="G183" s="5">
        <v>24289</v>
      </c>
      <c r="H183" s="21">
        <f t="shared" si="2"/>
        <v>5.7807613574985131E-3</v>
      </c>
    </row>
    <row r="184" spans="1:8" x14ac:dyDescent="0.3">
      <c r="A184" s="2">
        <v>45761</v>
      </c>
      <c r="B184" s="6" t="s">
        <v>10</v>
      </c>
      <c r="C184" s="4">
        <v>5583</v>
      </c>
      <c r="D184" s="4">
        <v>795</v>
      </c>
      <c r="E184" s="4">
        <v>1106373</v>
      </c>
      <c r="F184" s="19">
        <v>8.4337252148083575E-2</v>
      </c>
      <c r="G184" s="5">
        <v>59823</v>
      </c>
      <c r="H184" s="21">
        <f t="shared" si="2"/>
        <v>4.327654416729259E-3</v>
      </c>
    </row>
    <row r="185" spans="1:8" x14ac:dyDescent="0.3">
      <c r="A185" s="2">
        <v>45761</v>
      </c>
      <c r="B185" s="6" t="s">
        <v>10</v>
      </c>
      <c r="C185" s="4">
        <v>6946</v>
      </c>
      <c r="D185" s="4">
        <v>956</v>
      </c>
      <c r="E185" s="4">
        <v>1112363</v>
      </c>
      <c r="F185" s="19">
        <v>8.2343527293641069E-2</v>
      </c>
      <c r="G185" s="5">
        <v>17927</v>
      </c>
      <c r="H185" s="21">
        <f t="shared" si="2"/>
        <v>5.3849327962185002E-3</v>
      </c>
    </row>
    <row r="186" spans="1:8" x14ac:dyDescent="0.3">
      <c r="A186" s="2">
        <v>45768</v>
      </c>
      <c r="B186" s="6" t="s">
        <v>7</v>
      </c>
      <c r="C186" s="4">
        <v>5941</v>
      </c>
      <c r="D186" s="4">
        <v>450</v>
      </c>
      <c r="E186" s="4">
        <v>1117854</v>
      </c>
      <c r="F186" s="19">
        <v>8.1455462004611998E-2</v>
      </c>
      <c r="G186" s="5">
        <v>58330</v>
      </c>
      <c r="H186" s="21">
        <f t="shared" si="2"/>
        <v>4.9120904876665469E-3</v>
      </c>
    </row>
    <row r="187" spans="1:8" x14ac:dyDescent="0.3">
      <c r="A187" s="2">
        <v>45768</v>
      </c>
      <c r="B187" s="6" t="s">
        <v>7</v>
      </c>
      <c r="C187" s="4">
        <v>7267</v>
      </c>
      <c r="D187" s="4">
        <v>842</v>
      </c>
      <c r="E187" s="4">
        <v>1124279</v>
      </c>
      <c r="F187" s="19">
        <v>8.0922538207284747E-2</v>
      </c>
      <c r="G187" s="5">
        <v>11171</v>
      </c>
      <c r="H187" s="21">
        <f t="shared" si="2"/>
        <v>5.7147736460433753E-3</v>
      </c>
    </row>
    <row r="188" spans="1:8" x14ac:dyDescent="0.3">
      <c r="A188" s="2">
        <v>45768</v>
      </c>
      <c r="B188" s="6" t="s">
        <v>8</v>
      </c>
      <c r="C188" s="4">
        <v>8128</v>
      </c>
      <c r="D188" s="4">
        <v>1070</v>
      </c>
      <c r="E188" s="4">
        <v>1131337</v>
      </c>
      <c r="F188" s="19">
        <v>8.0820900676889074E-2</v>
      </c>
      <c r="G188" s="5">
        <v>21918</v>
      </c>
      <c r="H188" s="21">
        <f t="shared" si="2"/>
        <v>6.2386362330587612E-3</v>
      </c>
    </row>
    <row r="189" spans="1:8" x14ac:dyDescent="0.3">
      <c r="A189" s="2">
        <v>45768</v>
      </c>
      <c r="B189" s="6" t="s">
        <v>7</v>
      </c>
      <c r="C189" s="4">
        <v>3461</v>
      </c>
      <c r="D189" s="4">
        <v>365</v>
      </c>
      <c r="E189" s="4">
        <v>1134433</v>
      </c>
      <c r="F189" s="19">
        <v>8.0670257330939563E-2</v>
      </c>
      <c r="G189" s="5">
        <v>51903</v>
      </c>
      <c r="H189" s="21">
        <f t="shared" si="2"/>
        <v>2.7291166600407427E-3</v>
      </c>
    </row>
    <row r="190" spans="1:8" x14ac:dyDescent="0.3">
      <c r="A190" s="2">
        <v>45775</v>
      </c>
      <c r="B190" s="6" t="s">
        <v>10</v>
      </c>
      <c r="C190" s="4">
        <v>1685</v>
      </c>
      <c r="D190" s="4">
        <v>173</v>
      </c>
      <c r="E190" s="4">
        <v>1135945</v>
      </c>
      <c r="F190" s="19">
        <v>8.0636501195880311E-2</v>
      </c>
      <c r="G190" s="5">
        <v>49110</v>
      </c>
      <c r="H190" s="21">
        <f t="shared" si="2"/>
        <v>1.331050358952238E-3</v>
      </c>
    </row>
    <row r="191" spans="1:8" x14ac:dyDescent="0.3">
      <c r="A191" s="2">
        <v>45775</v>
      </c>
      <c r="B191" s="6" t="s">
        <v>8</v>
      </c>
      <c r="C191" s="4">
        <v>3160</v>
      </c>
      <c r="D191" s="4">
        <v>234</v>
      </c>
      <c r="E191" s="4">
        <v>1138871</v>
      </c>
      <c r="F191" s="19">
        <v>7.9852471972601938E-2</v>
      </c>
      <c r="G191" s="5">
        <v>21929</v>
      </c>
      <c r="H191" s="21">
        <f t="shared" si="2"/>
        <v>2.5692110871204906E-3</v>
      </c>
    </row>
    <row r="192" spans="1:8" x14ac:dyDescent="0.3">
      <c r="A192" s="2">
        <v>45775</v>
      </c>
      <c r="B192" s="6" t="s">
        <v>8</v>
      </c>
      <c r="C192" s="4">
        <v>8031</v>
      </c>
      <c r="D192" s="4">
        <v>476</v>
      </c>
      <c r="E192" s="4">
        <v>1146426</v>
      </c>
      <c r="F192" s="19">
        <v>7.9812047293514959E-2</v>
      </c>
      <c r="G192" s="5">
        <v>12539</v>
      </c>
      <c r="H192" s="21">
        <f t="shared" si="2"/>
        <v>6.5900459340594159E-3</v>
      </c>
    </row>
    <row r="193" spans="1:8" x14ac:dyDescent="0.3">
      <c r="A193" s="2">
        <v>45775</v>
      </c>
      <c r="B193" s="6" t="s">
        <v>8</v>
      </c>
      <c r="C193" s="4">
        <v>6341</v>
      </c>
      <c r="D193" s="4">
        <v>885</v>
      </c>
      <c r="E193" s="4">
        <v>1151882</v>
      </c>
      <c r="F193" s="19">
        <v>7.8807246729426739E-2</v>
      </c>
      <c r="G193" s="5">
        <v>46727</v>
      </c>
      <c r="H193" s="21">
        <f t="shared" si="2"/>
        <v>4.7365962832998515E-3</v>
      </c>
    </row>
    <row r="194" spans="1:8" x14ac:dyDescent="0.3">
      <c r="A194" s="2">
        <v>45782</v>
      </c>
      <c r="B194" s="6" t="s">
        <v>10</v>
      </c>
      <c r="C194" s="4">
        <v>1038</v>
      </c>
      <c r="D194" s="4">
        <v>145</v>
      </c>
      <c r="E194" s="4">
        <v>1152775</v>
      </c>
      <c r="F194" s="19">
        <v>7.8063634938760881E-2</v>
      </c>
      <c r="G194" s="5">
        <v>55951</v>
      </c>
      <c r="H194" s="21">
        <f t="shared" si="2"/>
        <v>7.7465246904209403E-4</v>
      </c>
    </row>
    <row r="195" spans="1:8" x14ac:dyDescent="0.3">
      <c r="A195" s="2">
        <v>45782</v>
      </c>
      <c r="B195" s="6" t="s">
        <v>9</v>
      </c>
      <c r="C195" s="4">
        <v>5875</v>
      </c>
      <c r="D195" s="4">
        <v>665</v>
      </c>
      <c r="E195" s="4">
        <v>1157985</v>
      </c>
      <c r="F195" s="19">
        <v>7.7546772311798629E-2</v>
      </c>
      <c r="G195" s="5">
        <v>32669</v>
      </c>
      <c r="H195" s="21">
        <f t="shared" ref="H195:H201" si="3">(C195-D195)/E195</f>
        <v>4.4991947218659999E-3</v>
      </c>
    </row>
    <row r="196" spans="1:8" x14ac:dyDescent="0.3">
      <c r="A196" s="2">
        <v>45782</v>
      </c>
      <c r="B196" s="6" t="s">
        <v>10</v>
      </c>
      <c r="C196" s="4">
        <v>2256</v>
      </c>
      <c r="D196" s="4">
        <v>189</v>
      </c>
      <c r="E196" s="4">
        <v>1160052</v>
      </c>
      <c r="F196" s="19">
        <v>7.7421297092723204E-2</v>
      </c>
      <c r="G196" s="5">
        <v>15432</v>
      </c>
      <c r="H196" s="21">
        <f t="shared" si="3"/>
        <v>1.7818166771834366E-3</v>
      </c>
    </row>
    <row r="197" spans="1:8" x14ac:dyDescent="0.3">
      <c r="A197" s="2">
        <v>45782</v>
      </c>
      <c r="B197" s="6" t="s">
        <v>7</v>
      </c>
      <c r="C197" s="4">
        <v>8697</v>
      </c>
      <c r="D197" s="4">
        <v>738</v>
      </c>
      <c r="E197" s="4">
        <v>1168011</v>
      </c>
      <c r="F197" s="19">
        <v>7.7063185942944451E-2</v>
      </c>
      <c r="G197" s="5">
        <v>30644</v>
      </c>
      <c r="H197" s="21">
        <f t="shared" si="3"/>
        <v>6.8141481544266276E-3</v>
      </c>
    </row>
    <row r="198" spans="1:8" x14ac:dyDescent="0.3">
      <c r="A198" s="2">
        <v>45789</v>
      </c>
      <c r="B198" s="6" t="s">
        <v>7</v>
      </c>
      <c r="C198" s="4">
        <v>3196</v>
      </c>
      <c r="D198" s="4">
        <v>391</v>
      </c>
      <c r="E198" s="4">
        <v>1170816</v>
      </c>
      <c r="F198" s="19">
        <v>7.6863476889667326E-2</v>
      </c>
      <c r="G198" s="5">
        <v>28745</v>
      </c>
      <c r="H198" s="21">
        <f t="shared" si="3"/>
        <v>2.3957650049196456E-3</v>
      </c>
    </row>
    <row r="199" spans="1:8" x14ac:dyDescent="0.3">
      <c r="A199" s="2">
        <v>45789</v>
      </c>
      <c r="B199" s="6" t="s">
        <v>10</v>
      </c>
      <c r="C199" s="4">
        <v>8165</v>
      </c>
      <c r="D199" s="4">
        <v>1140</v>
      </c>
      <c r="E199" s="4">
        <v>1177841</v>
      </c>
      <c r="F199" s="19">
        <v>7.6848663260016298E-2</v>
      </c>
      <c r="G199" s="5">
        <v>38228</v>
      </c>
      <c r="H199" s="21">
        <f t="shared" si="3"/>
        <v>5.9643024822535473E-3</v>
      </c>
    </row>
    <row r="200" spans="1:8" x14ac:dyDescent="0.3">
      <c r="A200" s="2">
        <v>45789</v>
      </c>
      <c r="B200" s="6" t="s">
        <v>10</v>
      </c>
      <c r="C200" s="4">
        <v>1301</v>
      </c>
      <c r="D200" s="4">
        <v>180</v>
      </c>
      <c r="E200" s="4">
        <v>1178962</v>
      </c>
      <c r="F200" s="19">
        <v>7.6641109749832043E-2</v>
      </c>
      <c r="G200" s="5">
        <v>44521</v>
      </c>
      <c r="H200" s="21">
        <f t="shared" si="3"/>
        <v>9.5083641372665107E-4</v>
      </c>
    </row>
    <row r="201" spans="1:8" x14ac:dyDescent="0.3">
      <c r="A201" s="2">
        <v>45789</v>
      </c>
      <c r="B201" s="6" t="s">
        <v>8</v>
      </c>
      <c r="C201" s="4">
        <v>8527</v>
      </c>
      <c r="D201" s="4">
        <v>1091</v>
      </c>
      <c r="E201" s="4">
        <v>1186398</v>
      </c>
      <c r="F201" s="19">
        <v>7.6089940988370866E-2</v>
      </c>
      <c r="G201" s="5">
        <v>41703</v>
      </c>
      <c r="H201" s="21">
        <f t="shared" si="3"/>
        <v>6.267711172810473E-3</v>
      </c>
    </row>
    <row r="202" spans="1:8" x14ac:dyDescent="0.3">
      <c r="F202" s="19">
        <v>7.5372640959116444E-2</v>
      </c>
    </row>
    <row r="203" spans="1:8" x14ac:dyDescent="0.3">
      <c r="F203" s="19">
        <v>7.5338585370546551E-2</v>
      </c>
    </row>
    <row r="204" spans="1:8" x14ac:dyDescent="0.3">
      <c r="F204" s="19">
        <v>7.4591745018632791E-2</v>
      </c>
    </row>
    <row r="205" spans="1:8" x14ac:dyDescent="0.3">
      <c r="F205" s="19">
        <v>7.4453101321114656E-2</v>
      </c>
    </row>
    <row r="206" spans="1:8" x14ac:dyDescent="0.3">
      <c r="F206" s="19">
        <v>7.3511726687321907E-2</v>
      </c>
    </row>
    <row r="207" spans="1:8" x14ac:dyDescent="0.3">
      <c r="F207" s="19">
        <v>7.3133856400324118E-2</v>
      </c>
    </row>
    <row r="208" spans="1:8" x14ac:dyDescent="0.3">
      <c r="F208" s="19">
        <v>7.306458375107093E-2</v>
      </c>
    </row>
    <row r="209" spans="6:6" x14ac:dyDescent="0.3">
      <c r="F209" s="19">
        <v>7.2176850630146963E-2</v>
      </c>
    </row>
    <row r="210" spans="6:6" x14ac:dyDescent="0.3">
      <c r="F210" s="19">
        <v>7.1873307278774071E-2</v>
      </c>
    </row>
    <row r="211" spans="6:6" x14ac:dyDescent="0.3">
      <c r="F211" s="19">
        <v>7.1840771025720687E-2</v>
      </c>
    </row>
    <row r="212" spans="6:6" x14ac:dyDescent="0.3">
      <c r="F212" s="19">
        <v>7.1814161833113191E-2</v>
      </c>
    </row>
    <row r="213" spans="6:6" x14ac:dyDescent="0.3">
      <c r="F213" s="19">
        <v>7.0768897853825175E-2</v>
      </c>
    </row>
    <row r="214" spans="6:6" x14ac:dyDescent="0.3">
      <c r="F214" s="19">
        <v>7.0457057720959296E-2</v>
      </c>
    </row>
    <row r="215" spans="6:6" x14ac:dyDescent="0.3">
      <c r="F215" s="19">
        <v>6.999487361489018E-2</v>
      </c>
    </row>
    <row r="216" spans="6:6" x14ac:dyDescent="0.3">
      <c r="F216" s="19">
        <v>6.9427799135654514E-2</v>
      </c>
    </row>
    <row r="217" spans="6:6" x14ac:dyDescent="0.3">
      <c r="F217" s="19">
        <v>6.9049421433978589E-2</v>
      </c>
    </row>
    <row r="218" spans="6:6" x14ac:dyDescent="0.3">
      <c r="F218" s="19">
        <v>6.8868359157149436E-2</v>
      </c>
    </row>
    <row r="219" spans="6:6" x14ac:dyDescent="0.3">
      <c r="F219" s="19">
        <v>6.8846844729464299E-2</v>
      </c>
    </row>
    <row r="220" spans="6:6" x14ac:dyDescent="0.3">
      <c r="F220" s="19">
        <v>6.7889190344053579E-2</v>
      </c>
    </row>
    <row r="221" spans="6:6" x14ac:dyDescent="0.3">
      <c r="F221" s="19">
        <v>6.7626313371268162E-2</v>
      </c>
    </row>
    <row r="222" spans="6:6" x14ac:dyDescent="0.3">
      <c r="F222" s="19">
        <v>6.6786217943137702E-2</v>
      </c>
    </row>
    <row r="223" spans="6:6" x14ac:dyDescent="0.3">
      <c r="F223" s="19">
        <v>6.5882285746922925E-2</v>
      </c>
    </row>
    <row r="224" spans="6:6" x14ac:dyDescent="0.3">
      <c r="F224" s="19">
        <v>6.4817450956467515E-2</v>
      </c>
    </row>
    <row r="225" spans="6:6" x14ac:dyDescent="0.3">
      <c r="F225" s="19">
        <v>6.4684720300454635E-2</v>
      </c>
    </row>
    <row r="226" spans="6:6" x14ac:dyDescent="0.3">
      <c r="F226" s="19">
        <v>6.4471480741682297E-2</v>
      </c>
    </row>
    <row r="227" spans="6:6" x14ac:dyDescent="0.3">
      <c r="F227" s="19">
        <v>6.3663192598106988E-2</v>
      </c>
    </row>
    <row r="228" spans="6:6" x14ac:dyDescent="0.3">
      <c r="F228" s="19">
        <v>6.3393006059932172E-2</v>
      </c>
    </row>
    <row r="229" spans="6:6" x14ac:dyDescent="0.3">
      <c r="F229" s="19">
        <v>6.329007731332871E-2</v>
      </c>
    </row>
    <row r="230" spans="6:6" x14ac:dyDescent="0.3">
      <c r="F230" s="19">
        <v>6.2262200025680704E-2</v>
      </c>
    </row>
    <row r="231" spans="6:6" x14ac:dyDescent="0.3">
      <c r="F231" s="19">
        <v>6.223429004850501E-2</v>
      </c>
    </row>
    <row r="232" spans="6:6" x14ac:dyDescent="0.3">
      <c r="F232" s="19">
        <v>6.2151990462610156E-2</v>
      </c>
    </row>
    <row r="233" spans="6:6" x14ac:dyDescent="0.3">
      <c r="F233" s="19">
        <v>6.2088657079799291E-2</v>
      </c>
    </row>
    <row r="234" spans="6:6" x14ac:dyDescent="0.3">
      <c r="F234" s="19">
        <v>6.2067532467532466E-2</v>
      </c>
    </row>
    <row r="235" spans="6:6" x14ac:dyDescent="0.3">
      <c r="F235" s="19">
        <v>5.9097367068710133E-2</v>
      </c>
    </row>
    <row r="236" spans="6:6" x14ac:dyDescent="0.3">
      <c r="F236" s="19">
        <v>5.8335042034037318E-2</v>
      </c>
    </row>
    <row r="237" spans="6:6" x14ac:dyDescent="0.3">
      <c r="F237" s="19">
        <v>5.8312760704860814E-2</v>
      </c>
    </row>
    <row r="238" spans="6:6" x14ac:dyDescent="0.3">
      <c r="F238" s="19">
        <v>5.7709003625963942E-2</v>
      </c>
    </row>
    <row r="239" spans="6:6" x14ac:dyDescent="0.3">
      <c r="F239" s="19">
        <v>5.7370434574690654E-2</v>
      </c>
    </row>
    <row r="240" spans="6:6" x14ac:dyDescent="0.3">
      <c r="F240" s="19">
        <v>5.7203921053574198E-2</v>
      </c>
    </row>
    <row r="241" spans="6:6" x14ac:dyDescent="0.3">
      <c r="F241" s="19">
        <v>5.6748744375519224E-2</v>
      </c>
    </row>
    <row r="242" spans="6:6" x14ac:dyDescent="0.3">
      <c r="F242" s="19">
        <v>5.6368419046166747E-2</v>
      </c>
    </row>
    <row r="243" spans="6:6" x14ac:dyDescent="0.3">
      <c r="F243" s="19">
        <v>5.6026851269142017E-2</v>
      </c>
    </row>
    <row r="244" spans="6:6" x14ac:dyDescent="0.3">
      <c r="F244" s="19">
        <v>5.5652105221581483E-2</v>
      </c>
    </row>
    <row r="245" spans="6:6" x14ac:dyDescent="0.3">
      <c r="F245" s="19">
        <v>5.563029516808405E-2</v>
      </c>
    </row>
    <row r="246" spans="6:6" x14ac:dyDescent="0.3">
      <c r="F246" s="19">
        <v>5.5370069582305642E-2</v>
      </c>
    </row>
    <row r="247" spans="6:6" x14ac:dyDescent="0.3">
      <c r="F247" s="19">
        <v>5.530396789678968E-2</v>
      </c>
    </row>
    <row r="248" spans="6:6" x14ac:dyDescent="0.3">
      <c r="F248" s="19">
        <v>5.5281075910190762E-2</v>
      </c>
    </row>
    <row r="249" spans="6:6" x14ac:dyDescent="0.3">
      <c r="F249" s="19">
        <v>5.5119760020032396E-2</v>
      </c>
    </row>
    <row r="250" spans="6:6" x14ac:dyDescent="0.3">
      <c r="F250" s="19">
        <v>5.4964209769684629E-2</v>
      </c>
    </row>
    <row r="251" spans="6:6" x14ac:dyDescent="0.3">
      <c r="F251" s="19">
        <v>5.3995905798572247E-2</v>
      </c>
    </row>
    <row r="252" spans="6:6" x14ac:dyDescent="0.3">
      <c r="F252" s="19">
        <v>5.3443950567397383E-2</v>
      </c>
    </row>
    <row r="253" spans="6:6" x14ac:dyDescent="0.3">
      <c r="F253" s="19">
        <v>5.3436258372119426E-2</v>
      </c>
    </row>
    <row r="254" spans="6:6" x14ac:dyDescent="0.3">
      <c r="F254" s="19">
        <v>5.2300290957278256E-2</v>
      </c>
    </row>
    <row r="255" spans="6:6" x14ac:dyDescent="0.3">
      <c r="F255" s="19">
        <v>5.2102807536618279E-2</v>
      </c>
    </row>
    <row r="256" spans="6:6" x14ac:dyDescent="0.3">
      <c r="F256" s="19">
        <v>5.1986616224487935E-2</v>
      </c>
    </row>
    <row r="257" spans="6:6" x14ac:dyDescent="0.3">
      <c r="F257" s="19">
        <v>5.1817013480626728E-2</v>
      </c>
    </row>
    <row r="258" spans="6:6" x14ac:dyDescent="0.3">
      <c r="F258" s="19">
        <v>5.1716844109144754E-2</v>
      </c>
    </row>
    <row r="259" spans="6:6" x14ac:dyDescent="0.3">
      <c r="F259" s="19">
        <v>5.1390278926069365E-2</v>
      </c>
    </row>
    <row r="260" spans="6:6" x14ac:dyDescent="0.3">
      <c r="F260" s="19">
        <v>5.0524045085947912E-2</v>
      </c>
    </row>
    <row r="261" spans="6:6" x14ac:dyDescent="0.3">
      <c r="F261" s="19">
        <v>4.9947039623008581E-2</v>
      </c>
    </row>
    <row r="262" spans="6:6" x14ac:dyDescent="0.3">
      <c r="F262" s="19">
        <v>4.9605013277039242E-2</v>
      </c>
    </row>
    <row r="263" spans="6:6" x14ac:dyDescent="0.3">
      <c r="F263" s="19">
        <v>4.9357038328611019E-2</v>
      </c>
    </row>
    <row r="264" spans="6:6" x14ac:dyDescent="0.3">
      <c r="F264" s="19">
        <v>4.6311641513143903E-2</v>
      </c>
    </row>
    <row r="265" spans="6:6" x14ac:dyDescent="0.3">
      <c r="F265" s="19">
        <v>4.5984271863057827E-2</v>
      </c>
    </row>
    <row r="266" spans="6:6" x14ac:dyDescent="0.3">
      <c r="F266" s="19">
        <v>4.5683321319726342E-2</v>
      </c>
    </row>
    <row r="267" spans="6:6" x14ac:dyDescent="0.3">
      <c r="F267" s="19">
        <v>4.5549829279679245E-2</v>
      </c>
    </row>
    <row r="268" spans="6:6" x14ac:dyDescent="0.3">
      <c r="F268" s="19">
        <v>4.541711217781013E-2</v>
      </c>
    </row>
    <row r="269" spans="6:6" x14ac:dyDescent="0.3">
      <c r="F269" s="19">
        <v>4.5408260996683103E-2</v>
      </c>
    </row>
    <row r="270" spans="6:6" x14ac:dyDescent="0.3">
      <c r="F270" s="19">
        <v>4.5293426168731353E-2</v>
      </c>
    </row>
    <row r="271" spans="6:6" x14ac:dyDescent="0.3">
      <c r="F271" s="19">
        <v>4.3345752013763089E-2</v>
      </c>
    </row>
    <row r="272" spans="6:6" x14ac:dyDescent="0.3">
      <c r="F272" s="19">
        <v>4.3161412227338117E-2</v>
      </c>
    </row>
    <row r="273" spans="6:6" x14ac:dyDescent="0.3">
      <c r="F273" s="19">
        <v>4.3073505198818141E-2</v>
      </c>
    </row>
    <row r="274" spans="6:6" x14ac:dyDescent="0.3">
      <c r="F274" s="19">
        <v>4.2810739790021778E-2</v>
      </c>
    </row>
    <row r="275" spans="6:6" x14ac:dyDescent="0.3">
      <c r="F275" s="19">
        <v>4.2237103373984064E-2</v>
      </c>
    </row>
    <row r="276" spans="6:6" x14ac:dyDescent="0.3">
      <c r="F276" s="19">
        <v>4.2048386891072105E-2</v>
      </c>
    </row>
    <row r="277" spans="6:6" x14ac:dyDescent="0.3">
      <c r="F277" s="19">
        <v>4.1131091131091133E-2</v>
      </c>
    </row>
    <row r="278" spans="6:6" x14ac:dyDescent="0.3">
      <c r="F278" s="19">
        <v>4.0443200318579509E-2</v>
      </c>
    </row>
    <row r="279" spans="6:6" x14ac:dyDescent="0.3">
      <c r="F279" s="19">
        <v>4.0326327066564277E-2</v>
      </c>
    </row>
    <row r="280" spans="6:6" x14ac:dyDescent="0.3">
      <c r="F280" s="19">
        <v>3.9975445361810122E-2</v>
      </c>
    </row>
    <row r="281" spans="6:6" x14ac:dyDescent="0.3">
      <c r="F281" s="19">
        <v>3.9036026498638549E-2</v>
      </c>
    </row>
    <row r="282" spans="6:6" x14ac:dyDescent="0.3">
      <c r="F282" s="19">
        <v>3.8663220337839206E-2</v>
      </c>
    </row>
    <row r="283" spans="6:6" x14ac:dyDescent="0.3">
      <c r="F283" s="19">
        <v>3.8114290100358834E-2</v>
      </c>
    </row>
    <row r="284" spans="6:6" x14ac:dyDescent="0.3">
      <c r="F284" s="19">
        <v>3.6761469908680823E-2</v>
      </c>
    </row>
    <row r="285" spans="6:6" x14ac:dyDescent="0.3">
      <c r="F285" s="19">
        <v>3.5977248821535704E-2</v>
      </c>
    </row>
    <row r="286" spans="6:6" x14ac:dyDescent="0.3">
      <c r="F286" s="19">
        <v>3.5903929094290347E-2</v>
      </c>
    </row>
    <row r="287" spans="6:6" x14ac:dyDescent="0.3">
      <c r="F287" s="19">
        <v>3.479214230573395E-2</v>
      </c>
    </row>
    <row r="288" spans="6:6" x14ac:dyDescent="0.3">
      <c r="F288" s="19">
        <v>3.4479704423524646E-2</v>
      </c>
    </row>
    <row r="289" spans="6:6" x14ac:dyDescent="0.3">
      <c r="F289" s="19">
        <v>3.4468706489625425E-2</v>
      </c>
    </row>
    <row r="290" spans="6:6" x14ac:dyDescent="0.3">
      <c r="F290" s="19">
        <v>3.2109431245500357E-2</v>
      </c>
    </row>
    <row r="291" spans="6:6" x14ac:dyDescent="0.3">
      <c r="F291" s="19">
        <v>3.207788698768177E-2</v>
      </c>
    </row>
    <row r="292" spans="6:6" x14ac:dyDescent="0.3">
      <c r="F292" s="19">
        <v>3.1559208260903839E-2</v>
      </c>
    </row>
    <row r="293" spans="6:6" x14ac:dyDescent="0.3">
      <c r="F293" s="19">
        <v>3.0867510988047343E-2</v>
      </c>
    </row>
    <row r="294" spans="6:6" x14ac:dyDescent="0.3">
      <c r="F294" s="19">
        <v>2.8916324848090057E-2</v>
      </c>
    </row>
    <row r="295" spans="6:6" x14ac:dyDescent="0.3">
      <c r="F295" s="19">
        <v>2.8308999931455206E-2</v>
      </c>
    </row>
    <row r="296" spans="6:6" x14ac:dyDescent="0.3">
      <c r="F296" s="19">
        <v>2.590960111698196E-2</v>
      </c>
    </row>
    <row r="297" spans="6:6" x14ac:dyDescent="0.3">
      <c r="F297" s="19">
        <v>2.5467751765081443E-2</v>
      </c>
    </row>
    <row r="298" spans="6:6" x14ac:dyDescent="0.3">
      <c r="F298" s="19">
        <v>2.2165609666394567E-2</v>
      </c>
    </row>
    <row r="299" spans="6:6" x14ac:dyDescent="0.3">
      <c r="F299" s="19">
        <v>2.0280718700881641E-2</v>
      </c>
    </row>
    <row r="300" spans="6:6" x14ac:dyDescent="0.3">
      <c r="F300" s="19">
        <v>2.0023249172401864E-2</v>
      </c>
    </row>
    <row r="301" spans="6:6" x14ac:dyDescent="0.3">
      <c r="F301" s="19">
        <v>1.6616512501514722E-2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pivot 2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c</dc:creator>
  <cp:lastModifiedBy>Ananya c</cp:lastModifiedBy>
  <dcterms:created xsi:type="dcterms:W3CDTF">2026-04-25T14:26:02Z</dcterms:created>
  <dcterms:modified xsi:type="dcterms:W3CDTF">2026-04-29T07:40:05Z</dcterms:modified>
</cp:coreProperties>
</file>