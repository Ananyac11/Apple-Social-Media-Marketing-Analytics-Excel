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84353eb5d56728a/Desktop/Apple/"/>
    </mc:Choice>
  </mc:AlternateContent>
  <xr:revisionPtr revIDLastSave="148" documentId="8_{548A849E-9512-4610-B16C-10BE0B0237DF}" xr6:coauthVersionLast="47" xr6:coauthVersionMax="47" xr10:uidLastSave="{70470076-3954-4F39-AB8E-353E47D5ABE9}"/>
  <bookViews>
    <workbookView xWindow="-108" yWindow="-108" windowWidth="23256" windowHeight="12456" xr2:uid="{B9B482C6-5354-4493-9E4A-D3B9A86EAE81}"/>
  </bookViews>
  <sheets>
    <sheet name="Sheet2" sheetId="3" r:id="rId1"/>
    <sheet name="Data" sheetId="1" r:id="rId2"/>
  </sheets>
  <definedNames>
    <definedName name="Slicer_Months__Week_Start_Date2">#N/A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5" i="1"/>
  <c r="K29" i="1"/>
  <c r="K33" i="1"/>
  <c r="K37" i="1"/>
  <c r="K41" i="1"/>
  <c r="K45" i="1"/>
  <c r="K49" i="1"/>
  <c r="K53" i="1"/>
  <c r="K57" i="1"/>
  <c r="K61" i="1"/>
  <c r="K65" i="1"/>
  <c r="K69" i="1"/>
  <c r="K73" i="1"/>
  <c r="K77" i="1"/>
  <c r="K81" i="1"/>
  <c r="K85" i="1"/>
  <c r="K89" i="1"/>
  <c r="K93" i="1"/>
  <c r="K97" i="1"/>
  <c r="K101" i="1"/>
  <c r="K105" i="1"/>
  <c r="K109" i="1"/>
  <c r="K113" i="1"/>
  <c r="K117" i="1"/>
  <c r="K121" i="1"/>
  <c r="K125" i="1"/>
  <c r="K129" i="1"/>
  <c r="K133" i="1"/>
  <c r="K137" i="1"/>
  <c r="K141" i="1"/>
  <c r="K145" i="1"/>
  <c r="K149" i="1"/>
  <c r="K153" i="1"/>
  <c r="K157" i="1"/>
  <c r="K161" i="1"/>
  <c r="K165" i="1"/>
  <c r="K169" i="1"/>
  <c r="K173" i="1"/>
  <c r="K177" i="1"/>
  <c r="K181" i="1"/>
  <c r="K185" i="1"/>
  <c r="K189" i="1"/>
  <c r="K193" i="1"/>
  <c r="K197" i="1"/>
  <c r="K201" i="1"/>
  <c r="K17" i="1"/>
  <c r="K13" i="1"/>
  <c r="K9" i="1"/>
  <c r="K5"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alcChain>
</file>

<file path=xl/sharedStrings.xml><?xml version="1.0" encoding="utf-8"?>
<sst xmlns="http://schemas.openxmlformats.org/spreadsheetml/2006/main" count="220" uniqueCount="18">
  <si>
    <t>Week_Start_Date</t>
  </si>
  <si>
    <t>Platform</t>
  </si>
  <si>
    <t>New_Followers</t>
  </si>
  <si>
    <t>Unfollows</t>
  </si>
  <si>
    <t>Total_Followers</t>
  </si>
  <si>
    <t>Engagement_Rate</t>
  </si>
  <si>
    <t>Ad_Spend</t>
  </si>
  <si>
    <t>INSTAGRAM</t>
  </si>
  <si>
    <t>TWITTER</t>
  </si>
  <si>
    <t>YOUTUBE</t>
  </si>
  <si>
    <t>LINKEDIN</t>
  </si>
  <si>
    <t>Net_Growth</t>
  </si>
  <si>
    <t>Moving_Avg</t>
  </si>
  <si>
    <t>Follwer Growth</t>
  </si>
  <si>
    <t>Row Labels</t>
  </si>
  <si>
    <t>Grand Total</t>
  </si>
  <si>
    <t>Column Labels</t>
  </si>
  <si>
    <t>Sum of Follwer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</si>
</sst>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ont>
    <font>
      <b/>
      <sz val="11"/>
      <color theme="1"/>
      <name val="Calibri"/>
      <family val="2"/>
    </font>
    <font>
      <sz val="11"/>
      <color theme="1"/>
      <name val="Calibri"/>
    </font>
    <font>
      <sz val="11"/>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164" fontId="3" fillId="0" borderId="1" xfId="0" applyNumberFormat="1" applyFont="1" applyBorder="1" applyAlignment="1">
      <alignment horizontal="center" vertical="top"/>
    </xf>
    <xf numFmtId="0" fontId="4" fillId="0" borderId="1" xfId="0" applyFont="1" applyBorder="1" applyAlignment="1">
      <alignment horizontal="left" vertical="top"/>
    </xf>
    <xf numFmtId="1" fontId="3" fillId="0" borderId="1" xfId="0" applyNumberFormat="1" applyFont="1" applyBorder="1" applyAlignment="1">
      <alignment horizontal="center" vertical="top"/>
    </xf>
    <xf numFmtId="10"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164" fontId="5" fillId="0" borderId="0" xfId="0" applyNumberFormat="1" applyFont="1"/>
    <xf numFmtId="0" fontId="1" fillId="0" borderId="0" xfId="0" applyFont="1" applyAlignment="1">
      <alignment horizontal="left"/>
    </xf>
    <xf numFmtId="1" fontId="6" fillId="0" borderId="0" xfId="0" applyNumberFormat="1" applyFont="1"/>
    <xf numFmtId="10" fontId="6" fillId="0" borderId="0" xfId="0" applyNumberFormat="1" applyFont="1"/>
    <xf numFmtId="165" fontId="6" fillId="0" borderId="0" xfId="0" applyNumberFormat="1" applyFont="1"/>
    <xf numFmtId="0" fontId="6" fillId="0" borderId="0" xfId="0" applyFont="1" applyAlignment="1">
      <alignment horizontal="left"/>
    </xf>
    <xf numFmtId="164"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165" fontId="0" fillId="0" borderId="0" xfId="0" applyNumberFormat="1"/>
    <xf numFmtId="0" fontId="2" fillId="0" borderId="0" xfId="0" applyFont="1"/>
    <xf numFmtId="164" fontId="4" fillId="0" borderId="1" xfId="0" applyNumberFormat="1" applyFont="1" applyBorder="1" applyAlignment="1">
      <alignment horizontal="center" vertical="top"/>
    </xf>
    <xf numFmtId="2" fontId="2" fillId="0" borderId="0" xfId="0" applyNumberFormat="1" applyFont="1"/>
    <xf numFmtId="2" fontId="0" fillId="0" borderId="0" xfId="0" applyNumberFormat="1"/>
    <xf numFmtId="0" fontId="0" fillId="0" borderId="0" xfId="0" pivotButton="1"/>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[Follower_Analysis-Task 6.xlsx]Sheet2!PivotTable2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INSTAGRAM</c:v>
                </c:pt>
              </c:strCache>
            </c:strRef>
          </c:tx>
          <c:spPr>
            <a:ln w="28575" cap="rnd">
              <a:solidFill>
                <a:schemeClr val="accent1"/>
              </a:solidFill>
              <a:round/>
            </a:ln>
            <a:effectLst/>
          </c:spPr>
          <c:marker>
            <c:symbol val="none"/>
          </c:marker>
          <c:cat>
            <c:strRef>
              <c:f>Sheet2!$A$5:$A$10</c:f>
              <c:strCache>
                <c:ptCount val="5"/>
                <c:pt idx="0">
                  <c:v>01-07-2024</c:v>
                </c:pt>
                <c:pt idx="1">
                  <c:v>08-07-2024</c:v>
                </c:pt>
                <c:pt idx="2">
                  <c:v>15-07-2024</c:v>
                </c:pt>
                <c:pt idx="3">
                  <c:v>22-07-2024</c:v>
                </c:pt>
                <c:pt idx="4">
                  <c:v>29-07-2024</c:v>
                </c:pt>
              </c:strCache>
            </c:strRef>
          </c:cat>
          <c:val>
            <c:numRef>
              <c:f>Sheet2!$B$5:$B$10</c:f>
              <c:numCache>
                <c:formatCode>0</c:formatCode>
                <c:ptCount val="5"/>
                <c:pt idx="0">
                  <c:v>5928</c:v>
                </c:pt>
                <c:pt idx="2">
                  <c:v>4967</c:v>
                </c:pt>
              </c:numCache>
            </c:numRef>
          </c:val>
          <c:smooth val="0"/>
          <c:extLst>
            <c:ext xmlns:c16="http://schemas.microsoft.com/office/drawing/2014/chart" uri="{C3380CC4-5D6E-409C-BE32-E72D297353CC}">
              <c16:uniqueId val="{00000000-997D-426E-8B88-749EB0C32ED4}"/>
            </c:ext>
          </c:extLst>
        </c:ser>
        <c:ser>
          <c:idx val="1"/>
          <c:order val="1"/>
          <c:tx>
            <c:strRef>
              <c:f>Sheet2!$C$3:$C$4</c:f>
              <c:strCache>
                <c:ptCount val="1"/>
                <c:pt idx="0">
                  <c:v>LINKEDIN</c:v>
                </c:pt>
              </c:strCache>
            </c:strRef>
          </c:tx>
          <c:spPr>
            <a:ln w="28575" cap="rnd">
              <a:solidFill>
                <a:schemeClr val="accent2"/>
              </a:solidFill>
              <a:round/>
            </a:ln>
            <a:effectLst/>
          </c:spPr>
          <c:marker>
            <c:symbol val="none"/>
          </c:marker>
          <c:cat>
            <c:strRef>
              <c:f>Sheet2!$A$5:$A$10</c:f>
              <c:strCache>
                <c:ptCount val="5"/>
                <c:pt idx="0">
                  <c:v>01-07-2024</c:v>
                </c:pt>
                <c:pt idx="1">
                  <c:v>08-07-2024</c:v>
                </c:pt>
                <c:pt idx="2">
                  <c:v>15-07-2024</c:v>
                </c:pt>
                <c:pt idx="3">
                  <c:v>22-07-2024</c:v>
                </c:pt>
                <c:pt idx="4">
                  <c:v>29-07-2024</c:v>
                </c:pt>
              </c:strCache>
            </c:strRef>
          </c:cat>
          <c:val>
            <c:numRef>
              <c:f>Sheet2!$C$5:$C$10</c:f>
              <c:numCache>
                <c:formatCode>0</c:formatCode>
                <c:ptCount val="5"/>
                <c:pt idx="0">
                  <c:v>5442</c:v>
                </c:pt>
                <c:pt idx="1">
                  <c:v>11378</c:v>
                </c:pt>
                <c:pt idx="3">
                  <c:v>15403</c:v>
                </c:pt>
                <c:pt idx="4">
                  <c:v>7537</c:v>
                </c:pt>
              </c:numCache>
            </c:numRef>
          </c:val>
          <c:smooth val="0"/>
          <c:extLst>
            <c:ext xmlns:c16="http://schemas.microsoft.com/office/drawing/2014/chart" uri="{C3380CC4-5D6E-409C-BE32-E72D297353CC}">
              <c16:uniqueId val="{00000001-997D-426E-8B88-749EB0C32ED4}"/>
            </c:ext>
          </c:extLst>
        </c:ser>
        <c:ser>
          <c:idx val="2"/>
          <c:order val="2"/>
          <c:tx>
            <c:strRef>
              <c:f>Sheet2!$D$3:$D$4</c:f>
              <c:strCache>
                <c:ptCount val="1"/>
                <c:pt idx="0">
                  <c:v>TWITTER</c:v>
                </c:pt>
              </c:strCache>
            </c:strRef>
          </c:tx>
          <c:spPr>
            <a:ln w="28575" cap="rnd">
              <a:solidFill>
                <a:schemeClr val="accent3"/>
              </a:solidFill>
              <a:round/>
            </a:ln>
            <a:effectLst/>
          </c:spPr>
          <c:marker>
            <c:symbol val="none"/>
          </c:marker>
          <c:cat>
            <c:strRef>
              <c:f>Sheet2!$A$5:$A$10</c:f>
              <c:strCache>
                <c:ptCount val="5"/>
                <c:pt idx="0">
                  <c:v>01-07-2024</c:v>
                </c:pt>
                <c:pt idx="1">
                  <c:v>08-07-2024</c:v>
                </c:pt>
                <c:pt idx="2">
                  <c:v>15-07-2024</c:v>
                </c:pt>
                <c:pt idx="3">
                  <c:v>22-07-2024</c:v>
                </c:pt>
                <c:pt idx="4">
                  <c:v>29-07-2024</c:v>
                </c:pt>
              </c:strCache>
            </c:strRef>
          </c:cat>
          <c:val>
            <c:numRef>
              <c:f>Sheet2!$D$5:$D$10</c:f>
              <c:numCache>
                <c:formatCode>0</c:formatCode>
                <c:ptCount val="5"/>
                <c:pt idx="0">
                  <c:v>8463</c:v>
                </c:pt>
                <c:pt idx="1">
                  <c:v>7151</c:v>
                </c:pt>
                <c:pt idx="2">
                  <c:v>7092</c:v>
                </c:pt>
                <c:pt idx="3">
                  <c:v>7733</c:v>
                </c:pt>
                <c:pt idx="4">
                  <c:v>6039</c:v>
                </c:pt>
              </c:numCache>
            </c:numRef>
          </c:val>
          <c:smooth val="0"/>
          <c:extLst>
            <c:ext xmlns:c16="http://schemas.microsoft.com/office/drawing/2014/chart" uri="{C3380CC4-5D6E-409C-BE32-E72D297353CC}">
              <c16:uniqueId val="{00000002-997D-426E-8B88-749EB0C32ED4}"/>
            </c:ext>
          </c:extLst>
        </c:ser>
        <c:ser>
          <c:idx val="3"/>
          <c:order val="3"/>
          <c:tx>
            <c:strRef>
              <c:f>Sheet2!$E$3:$E$4</c:f>
              <c:strCache>
                <c:ptCount val="1"/>
                <c:pt idx="0">
                  <c:v>YOUTUBE</c:v>
                </c:pt>
              </c:strCache>
            </c:strRef>
          </c:tx>
          <c:spPr>
            <a:ln w="28575" cap="rnd">
              <a:solidFill>
                <a:schemeClr val="accent4"/>
              </a:solidFill>
              <a:round/>
            </a:ln>
            <a:effectLst/>
          </c:spPr>
          <c:marker>
            <c:symbol val="none"/>
          </c:marker>
          <c:cat>
            <c:strRef>
              <c:f>Sheet2!$A$5:$A$10</c:f>
              <c:strCache>
                <c:ptCount val="5"/>
                <c:pt idx="0">
                  <c:v>01-07-2024</c:v>
                </c:pt>
                <c:pt idx="1">
                  <c:v>08-07-2024</c:v>
                </c:pt>
                <c:pt idx="2">
                  <c:v>15-07-2024</c:v>
                </c:pt>
                <c:pt idx="3">
                  <c:v>22-07-2024</c:v>
                </c:pt>
                <c:pt idx="4">
                  <c:v>29-07-2024</c:v>
                </c:pt>
              </c:strCache>
            </c:strRef>
          </c:cat>
          <c:val>
            <c:numRef>
              <c:f>Sheet2!$E$5:$E$10</c:f>
              <c:numCache>
                <c:formatCode>0</c:formatCode>
                <c:ptCount val="5"/>
                <c:pt idx="2">
                  <c:v>1826</c:v>
                </c:pt>
                <c:pt idx="3">
                  <c:v>9082</c:v>
                </c:pt>
                <c:pt idx="4">
                  <c:v>3445</c:v>
                </c:pt>
              </c:numCache>
            </c:numRef>
          </c:val>
          <c:smooth val="0"/>
          <c:extLst>
            <c:ext xmlns:c16="http://schemas.microsoft.com/office/drawing/2014/chart" uri="{C3380CC4-5D6E-409C-BE32-E72D297353CC}">
              <c16:uniqueId val="{00000003-997D-426E-8B88-749EB0C32ED4}"/>
            </c:ext>
          </c:extLst>
        </c:ser>
        <c:dLbls>
          <c:showLegendKey val="0"/>
          <c:showVal val="0"/>
          <c:showCatName val="0"/>
          <c:showSerName val="0"/>
          <c:showPercent val="0"/>
          <c:showBubbleSize val="0"/>
        </c:dLbls>
        <c:smooth val="0"/>
        <c:axId val="2037012783"/>
        <c:axId val="2037008943"/>
      </c:lineChart>
      <c:catAx>
        <c:axId val="203701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008943"/>
        <c:crosses val="autoZero"/>
        <c:auto val="1"/>
        <c:lblAlgn val="ctr"/>
        <c:lblOffset val="100"/>
        <c:noMultiLvlLbl val="0"/>
      </c:catAx>
      <c:valAx>
        <c:axId val="203700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01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198120</xdr:colOff>
      <xdr:row>4</xdr:row>
      <xdr:rowOff>11430</xdr:rowOff>
    </xdr:from>
    <xdr:to>
      <xdr:col>15</xdr:col>
      <xdr:colOff>312420</xdr:colOff>
      <xdr:row>19</xdr:row>
      <xdr:rowOff>11430</xdr:rowOff>
    </xdr:to>
    <xdr:graphicFrame macro="">
      <xdr:nvGraphicFramePr>
        <xdr:cNvPr id="3" name="Chart 2">
          <a:extLst>
            <a:ext uri="{FF2B5EF4-FFF2-40B4-BE49-F238E27FC236}">
              <a16:creationId xmlns:a16="http://schemas.microsoft.com/office/drawing/2014/main" id="{F4FAB885-A5EC-73D7-74EB-C86DA581F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381000</xdr:colOff>
      <xdr:row>3</xdr:row>
      <xdr:rowOff>114300</xdr:rowOff>
    </xdr:from>
    <xdr:to>
      <xdr:col>20</xdr:col>
      <xdr:colOff>228600</xdr:colOff>
      <xdr:row>17</xdr:row>
      <xdr:rowOff>135255</xdr:rowOff>
    </xdr:to>
    <mc:AlternateContent xmlns:mc="http://schemas.openxmlformats.org/markup-compatibility/2006" xmlns:a14="http://schemas.microsoft.com/office/drawing/2010/main">
      <mc:Choice Requires="a14">
        <xdr:graphicFrame macro="">
          <xdr:nvGraphicFramePr>
            <xdr:cNvPr id="4" name="Months (Week_Start_Date2)">
              <a:extLst>
                <a:ext uri="{FF2B5EF4-FFF2-40B4-BE49-F238E27FC236}">
                  <a16:creationId xmlns:a16="http://schemas.microsoft.com/office/drawing/2014/main" id="{93E8369C-A2AD-E737-D373-2B346C0B97D3}"/>
                </a:ext>
              </a:extLst>
            </xdr:cNvPr>
            <xdr:cNvGraphicFramePr/>
          </xdr:nvGraphicFramePr>
          <xdr:xfrm>
            <a:off x="0" y="0"/>
            <a:ext cx="0" cy="0"/>
          </xdr:xfrm>
          <a:graphic>
            <a:graphicData uri="http://schemas.microsoft.com/office/drawing/2010/slicer">
              <sle:slicer xmlns:sle="http://schemas.microsoft.com/office/drawing/2010/slicer" name="Months (Week_Start_Date2)"/>
            </a:graphicData>
          </a:graphic>
        </xdr:graphicFrame>
      </mc:Choice>
      <mc:Fallback xmlns="">
        <xdr:sp macro="" textlink="">
          <xdr:nvSpPr>
            <xdr:cNvPr id="0" name=""/>
            <xdr:cNvSpPr>
              <a:spLocks noTextEdit="1"/>
            </xdr:cNvSpPr>
          </xdr:nvSpPr>
          <xdr:spPr>
            <a:xfrm>
              <a:off x="10241280" y="662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c" refreshedDate="46141.644227314813" createdVersion="8" refreshedVersion="8" minRefreshableVersion="3" recordCount="200" xr:uid="{73A9C1F2-4BC1-4C61-8ECC-D4B401AF05E2}">
  <cacheSource type="worksheet">
    <worksheetSource ref="A1:K201" sheet="Data"/>
  </cacheSource>
  <cacheFields count="14">
    <cacheField name="Week_Start_Date" numFmtId="164">
      <sharedItems containsSemiMixedTypes="0" containsNonDate="0" containsDate="1" containsString="0" minDate="2024-06-03T00:00:00" maxDate="2025-05-13T00:00:00"/>
    </cacheField>
    <cacheField name="Platform" numFmtId="0">
      <sharedItems count="4">
        <s v="INSTAGRAM"/>
        <s v="TWITTER"/>
        <s v="YOUTUBE"/>
        <s v="LINKEDIN"/>
      </sharedItems>
    </cacheField>
    <cacheField name="New_Followers" numFmtId="1">
      <sharedItems containsSemiMixedTypes="0" containsString="0" containsNumber="1" containsInteger="1" minValue="1016" maxValue="9984"/>
    </cacheField>
    <cacheField name="Unfollows" numFmtId="1">
      <sharedItems containsSemiMixedTypes="0" containsString="0" containsNumber="1" containsInteger="1" minValue="67" maxValue="1417"/>
    </cacheField>
    <cacheField name="Total_Followers" numFmtId="1">
      <sharedItems containsSemiMixedTypes="0" containsString="0" containsNumber="1" containsInteger="1" minValue="103777" maxValue="1186398"/>
    </cacheField>
    <cacheField name="Engagement_Rate" numFmtId="10">
      <sharedItems containsSemiMixedTypes="0" containsString="0" containsNumber="1" minValue="1.381177897889402" maxValue="92.312204605638044"/>
    </cacheField>
    <cacheField name="Ad_Spend" numFmtId="165">
      <sharedItems containsSemiMixedTypes="0" containsString="0" containsNumber="1" containsInteger="1" minValue="10161" maxValue="59823"/>
    </cacheField>
    <cacheField name="Net_Growth" numFmtId="2">
      <sharedItems containsSemiMixedTypes="0" containsString="0" containsNumber="1" minValue="7.7465246904209403E-4" maxValue="6.8070592967519189E-2"/>
    </cacheField>
    <cacheField name="Follwer Growth" numFmtId="1">
      <sharedItems containsSemiMixedTypes="0" containsString="0" containsNumber="1" containsInteger="1" minValue="893" maxValue="9335" count="198">
        <n v="3777"/>
        <n v="7432"/>
        <n v="8123"/>
        <n v="7871"/>
        <n v="7215"/>
        <n v="7478"/>
        <n v="4934"/>
        <n v="3435"/>
        <n v="7452"/>
        <n v="6073"/>
        <n v="6728"/>
        <n v="5678"/>
        <n v="8654"/>
        <n v="4885"/>
        <n v="8653"/>
        <n v="6430"/>
        <n v="5442"/>
        <n v="8463"/>
        <n v="3202"/>
        <n v="2726"/>
        <n v="7151"/>
        <n v="1918"/>
        <n v="6236"/>
        <n v="3224"/>
        <n v="3586"/>
        <n v="7092"/>
        <n v="1826"/>
        <n v="1381"/>
        <n v="7429"/>
        <n v="7733"/>
        <n v="7974"/>
        <n v="9082"/>
        <n v="1741"/>
        <n v="5796"/>
        <n v="3445"/>
        <n v="6039"/>
        <n v="3213"/>
        <n v="3497"/>
        <n v="2543"/>
        <n v="4847"/>
        <n v="5795"/>
        <n v="6853"/>
        <n v="7033"/>
        <n v="7005"/>
        <n v="6920"/>
        <n v="5071"/>
        <n v="6915"/>
        <n v="4356"/>
        <n v="1513"/>
        <n v="5753"/>
        <n v="8231"/>
        <n v="5303"/>
        <n v="5520"/>
        <n v="1876"/>
        <n v="6593"/>
        <n v="8228"/>
        <n v="7442"/>
        <n v="9118"/>
        <n v="2495"/>
        <n v="6121"/>
        <n v="7224"/>
        <n v="2199"/>
        <n v="2084"/>
        <n v="3925"/>
        <n v="1309"/>
        <n v="4942"/>
        <n v="4027"/>
        <n v="7704"/>
        <n v="8361"/>
        <n v="5698"/>
        <n v="1543"/>
        <n v="2832"/>
        <n v="2421"/>
        <n v="6201"/>
        <n v="4147"/>
        <n v="4808"/>
        <n v="7767"/>
        <n v="7115"/>
        <n v="3011"/>
        <n v="5478"/>
        <n v="7565"/>
        <n v="6918"/>
        <n v="7921"/>
        <n v="8487"/>
        <n v="6439"/>
        <n v="6003"/>
        <n v="6452"/>
        <n v="8360"/>
        <n v="7218"/>
        <n v="3056"/>
        <n v="1469"/>
        <n v="1017"/>
        <n v="8632"/>
        <n v="4882"/>
        <n v="5220"/>
        <n v="5206"/>
        <n v="6384"/>
        <n v="3179"/>
        <n v="6469"/>
        <n v="8485"/>
        <n v="6052"/>
        <n v="8945"/>
        <n v="5143"/>
        <n v="1369"/>
        <n v="5402"/>
        <n v="7630"/>
        <n v="3929"/>
        <n v="6642"/>
        <n v="3461"/>
        <n v="4790"/>
        <n v="949"/>
        <n v="3592"/>
        <n v="1210"/>
        <n v="8527"/>
        <n v="6275"/>
        <n v="1367"/>
        <n v="4314"/>
        <n v="6174"/>
        <n v="7328"/>
        <n v="8200"/>
        <n v="4214"/>
        <n v="8377"/>
        <n v="3079"/>
        <n v="9254"/>
        <n v="7668"/>
        <n v="8601"/>
        <n v="1534"/>
        <n v="7471"/>
        <n v="2919"/>
        <n v="7346"/>
        <n v="1001"/>
        <n v="8518"/>
        <n v="7421"/>
        <n v="4216"/>
        <n v="7654"/>
        <n v="7260"/>
        <n v="6361"/>
        <n v="5428"/>
        <n v="3643"/>
        <n v="3805"/>
        <n v="8128"/>
        <n v="8642"/>
        <n v="7958"/>
        <n v="3420"/>
        <n v="2525"/>
        <n v="1020"/>
        <n v="6677"/>
        <n v="1290"/>
        <n v="5101"/>
        <n v="5439"/>
        <n v="6029"/>
        <n v="9125"/>
        <n v="8979"/>
        <n v="6380"/>
        <n v="5962"/>
        <n v="6631"/>
        <n v="2081"/>
        <n v="4245"/>
        <n v="8723"/>
        <n v="2994"/>
        <n v="3555"/>
        <n v="2535"/>
        <n v="7509"/>
        <n v="8292"/>
        <n v="4852"/>
        <n v="7367"/>
        <n v="9044"/>
        <n v="2848"/>
        <n v="4189"/>
        <n v="9335"/>
        <n v="6272"/>
        <n v="6128"/>
        <n v="1567"/>
        <n v="1660"/>
        <n v="6434"/>
        <n v="4542"/>
        <n v="8319"/>
        <n v="1425"/>
        <n v="7849"/>
        <n v="6368"/>
        <n v="4788"/>
        <n v="5990"/>
        <n v="5491"/>
        <n v="6425"/>
        <n v="7058"/>
        <n v="3096"/>
        <n v="1512"/>
        <n v="2926"/>
        <n v="7555"/>
        <n v="5456"/>
        <n v="893"/>
        <n v="5210"/>
        <n v="2067"/>
        <n v="7959"/>
        <n v="2805"/>
        <n v="7025"/>
        <n v="1121"/>
        <n v="7436"/>
      </sharedItems>
    </cacheField>
    <cacheField name="Week_Start_Date2" numFmtId="16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3"/>
    </cacheField>
    <cacheField name="Moving_Avg" numFmtId="0">
      <sharedItems containsString="0" containsBlank="1" containsNumber="1" minValue="2321.6666666666665" maxValue="8507.6666666666661"/>
    </cacheField>
    <cacheField name="Months (Week_Start_Date2)" numFmtId="0" databaseField="0">
      <fieldGroup base="9">
        <rangePr groupBy="months" startDate="2024-06-03T00:00:00" endDate="2025-05-13T00:00:00"/>
        <groupItems count="14">
          <s v="&lt;03-06-2024"/>
          <s v="Jan"/>
          <s v="Feb"/>
          <s v="Mar"/>
          <s v="Apr"/>
          <s v="May"/>
          <s v="Jun"/>
          <s v="Jul"/>
          <s v="Aug"/>
          <s v="Sep"/>
          <s v="Oct"/>
          <s v="Nov"/>
          <s v="Dec"/>
          <s v="&gt;13-05-2025"/>
        </groupItems>
      </fieldGroup>
    </cacheField>
    <cacheField name="Quarters (Week_Start_Date2)" numFmtId="0" databaseField="0">
      <fieldGroup base="9">
        <rangePr groupBy="quarters" startDate="2024-06-03T00:00:00" endDate="2025-05-13T00:00:00"/>
        <groupItems count="6">
          <s v="&lt;03-06-2024"/>
          <s v="Qtr1"/>
          <s v="Qtr2"/>
          <s v="Qtr3"/>
          <s v="Qtr4"/>
          <s v="&gt;13-05-2025"/>
        </groupItems>
      </fieldGroup>
    </cacheField>
    <cacheField name="Years (Week_Start_Date2)" numFmtId="0" databaseField="0">
      <fieldGroup base="9">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2119647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4138"/>
    <n v="361"/>
    <n v="103777"/>
    <n v="56.637790647253247"/>
    <n v="23944"/>
    <n v="3.6395347716738774E-2"/>
    <x v="0"/>
    <x v="0"/>
    <m/>
  </r>
  <r>
    <d v="2024-06-03T00:00:00"/>
    <x v="1"/>
    <n v="8693"/>
    <n v="1261"/>
    <n v="111209"/>
    <n v="69.475492091467416"/>
    <n v="29873"/>
    <n v="6.6829123542159363E-2"/>
    <x v="1"/>
    <x v="0"/>
    <m/>
  </r>
  <r>
    <d v="2024-06-03T00:00:00"/>
    <x v="2"/>
    <n v="9264"/>
    <n v="1141"/>
    <n v="119332"/>
    <n v="92.312204605638044"/>
    <n v="50372"/>
    <n v="6.8070592967519189E-2"/>
    <x v="2"/>
    <x v="0"/>
    <m/>
  </r>
  <r>
    <d v="2024-06-03T00:00:00"/>
    <x v="2"/>
    <n v="8842"/>
    <n v="971"/>
    <n v="127203"/>
    <n v="16.351815601833291"/>
    <n v="33928"/>
    <n v="6.1877471443283573E-2"/>
    <x v="3"/>
    <x v="0"/>
    <n v="6444"/>
  </r>
  <r>
    <d v="2024-06-10T00:00:00"/>
    <x v="0"/>
    <n v="7721"/>
    <n v="506"/>
    <n v="134418"/>
    <n v="35.577824398518047"/>
    <n v="25379"/>
    <n v="5.3675846984778827E-2"/>
    <x v="4"/>
    <x v="1"/>
    <m/>
  </r>
  <r>
    <d v="2024-06-10T00:00:00"/>
    <x v="2"/>
    <n v="8002"/>
    <n v="524"/>
    <n v="141896"/>
    <n v="52.064892597395271"/>
    <n v="46751"/>
    <n v="5.270056943113266E-2"/>
    <x v="5"/>
    <x v="1"/>
    <m/>
  </r>
  <r>
    <d v="2024-06-10T00:00:00"/>
    <x v="1"/>
    <n v="5225"/>
    <n v="291"/>
    <n v="146830"/>
    <n v="19.551862698358651"/>
    <n v="44546"/>
    <n v="3.3603487025812166E-2"/>
    <x v="6"/>
    <x v="1"/>
    <m/>
  </r>
  <r>
    <d v="2024-06-10T00:00:00"/>
    <x v="1"/>
    <n v="3978"/>
    <n v="543"/>
    <n v="150265"/>
    <n v="49.159817655475329"/>
    <n v="34286"/>
    <n v="2.2859614680730708E-2"/>
    <x v="7"/>
    <x v="1"/>
    <n v="5765.5"/>
  </r>
  <r>
    <d v="2024-06-17T00:00:00"/>
    <x v="0"/>
    <n v="8373"/>
    <n v="921"/>
    <n v="157717"/>
    <n v="12.2263294381709"/>
    <n v="15110"/>
    <n v="4.7249186834646864E-2"/>
    <x v="8"/>
    <x v="2"/>
    <m/>
  </r>
  <r>
    <d v="2024-06-17T00:00:00"/>
    <x v="1"/>
    <n v="6907"/>
    <n v="834"/>
    <n v="163790"/>
    <n v="54.158984064961238"/>
    <n v="22087"/>
    <n v="3.7077965687770928E-2"/>
    <x v="9"/>
    <x v="2"/>
    <m/>
  </r>
  <r>
    <d v="2024-06-17T00:00:00"/>
    <x v="3"/>
    <n v="7097"/>
    <n v="369"/>
    <n v="170518"/>
    <n v="9.2506362964613711"/>
    <n v="33762"/>
    <n v="3.9456245088495059E-2"/>
    <x v="10"/>
    <x v="2"/>
    <m/>
  </r>
  <r>
    <d v="2024-06-17T00:00:00"/>
    <x v="0"/>
    <n v="6656"/>
    <n v="978"/>
    <n v="176196"/>
    <n v="60.425889350496043"/>
    <n v="27081"/>
    <n v="3.2225476174260484E-2"/>
    <x v="11"/>
    <x v="2"/>
    <n v="6159.666666666667"/>
  </r>
  <r>
    <d v="2024-06-24T00:00:00"/>
    <x v="1"/>
    <n v="9984"/>
    <n v="1330"/>
    <n v="184850"/>
    <n v="57.524479307546663"/>
    <n v="44947"/>
    <n v="4.6816337571003515E-2"/>
    <x v="12"/>
    <x v="3"/>
    <m/>
  </r>
  <r>
    <d v="2024-06-24T00:00:00"/>
    <x v="0"/>
    <n v="5259"/>
    <n v="374"/>
    <n v="189735"/>
    <n v="14.827522597306769"/>
    <n v="19596"/>
    <n v="2.5746435818378266E-2"/>
    <x v="13"/>
    <x v="3"/>
    <m/>
  </r>
  <r>
    <d v="2024-06-24T00:00:00"/>
    <x v="2"/>
    <n v="9286"/>
    <n v="633"/>
    <n v="198388"/>
    <n v="5.4343004617214756"/>
    <n v="48019"/>
    <n v="4.3616549388067825E-2"/>
    <x v="14"/>
    <x v="3"/>
    <m/>
  </r>
  <r>
    <d v="2024-06-24T00:00:00"/>
    <x v="1"/>
    <n v="6901"/>
    <n v="471"/>
    <n v="204818"/>
    <n v="60.827661631301943"/>
    <n v="52003"/>
    <n v="3.1393725160874533E-2"/>
    <x v="15"/>
    <x v="3"/>
    <n v="7397.333333333333"/>
  </r>
  <r>
    <d v="2024-07-01T00:00:00"/>
    <x v="3"/>
    <n v="5917"/>
    <n v="475"/>
    <n v="210260"/>
    <n v="17.894035955483691"/>
    <n v="28313"/>
    <n v="2.5882241034909159E-2"/>
    <x v="16"/>
    <x v="4"/>
    <m/>
  </r>
  <r>
    <d v="2024-07-01T00:00:00"/>
    <x v="1"/>
    <n v="9429"/>
    <n v="966"/>
    <n v="218723"/>
    <n v="7.6914636320825887"/>
    <n v="57639"/>
    <n v="3.8692775794040866E-2"/>
    <x v="17"/>
    <x v="4"/>
    <m/>
  </r>
  <r>
    <d v="2024-07-01T00:00:00"/>
    <x v="0"/>
    <n v="3530"/>
    <n v="328"/>
    <n v="221925"/>
    <n v="12.8372197814577"/>
    <n v="11013"/>
    <n v="1.4428297848372199E-2"/>
    <x v="18"/>
    <x v="4"/>
    <m/>
  </r>
  <r>
    <d v="2024-07-01T00:00:00"/>
    <x v="0"/>
    <n v="2960"/>
    <n v="234"/>
    <n v="224651"/>
    <n v="17.41278694508371"/>
    <n v="59378"/>
    <n v="1.213437732304775E-2"/>
    <x v="19"/>
    <x v="4"/>
    <n v="5702.333333333333"/>
  </r>
  <r>
    <d v="2024-07-08T00:00:00"/>
    <x v="1"/>
    <n v="8045"/>
    <n v="894"/>
    <n v="231802"/>
    <n v="47.634187798207087"/>
    <n v="33705"/>
    <n v="3.084960440375838E-2"/>
    <x v="20"/>
    <x v="5"/>
    <m/>
  </r>
  <r>
    <d v="2024-07-08T00:00:00"/>
    <x v="3"/>
    <n v="2048"/>
    <n v="130"/>
    <n v="233720"/>
    <n v="39.284614068115687"/>
    <n v="11828"/>
    <n v="8.2064008214958063E-3"/>
    <x v="21"/>
    <x v="5"/>
    <m/>
  </r>
  <r>
    <d v="2024-07-08T00:00:00"/>
    <x v="3"/>
    <n v="6772"/>
    <n v="536"/>
    <n v="239956"/>
    <n v="9.8205504342462788"/>
    <n v="17909"/>
    <n v="2.5988097817933289E-2"/>
    <x v="22"/>
    <x v="5"/>
    <m/>
  </r>
  <r>
    <d v="2024-07-08T00:00:00"/>
    <x v="3"/>
    <n v="3529"/>
    <n v="305"/>
    <n v="243180"/>
    <n v="41.606628834608109"/>
    <n v="48356"/>
    <n v="1.3257669216218439E-2"/>
    <x v="23"/>
    <x v="5"/>
    <n v="4632.25"/>
  </r>
  <r>
    <d v="2024-07-15T00:00:00"/>
    <x v="0"/>
    <n v="3964"/>
    <n v="378"/>
    <n v="246766"/>
    <n v="13.6355899921383"/>
    <n v="23109"/>
    <n v="1.453198576789347E-2"/>
    <x v="24"/>
    <x v="6"/>
    <m/>
  </r>
  <r>
    <d v="2024-07-15T00:00:00"/>
    <x v="1"/>
    <n v="8137"/>
    <n v="1045"/>
    <n v="253858"/>
    <n v="20.47246886054408"/>
    <n v="12023"/>
    <n v="2.7936878097203948E-2"/>
    <x v="25"/>
    <x v="6"/>
    <m/>
  </r>
  <r>
    <d v="2024-07-15T00:00:00"/>
    <x v="2"/>
    <n v="1963"/>
    <n v="137"/>
    <n v="255684"/>
    <n v="11.2083665774941"/>
    <n v="24537"/>
    <n v="7.1416279469970747E-3"/>
    <x v="26"/>
    <x v="6"/>
    <m/>
  </r>
  <r>
    <d v="2024-07-15T00:00:00"/>
    <x v="0"/>
    <n v="1536"/>
    <n v="155"/>
    <n v="257065"/>
    <n v="12.15762550327738"/>
    <n v="36661"/>
    <n v="5.3721821329235798E-3"/>
    <x v="27"/>
    <x v="6"/>
    <n v="3433"/>
  </r>
  <r>
    <d v="2024-07-22T00:00:00"/>
    <x v="3"/>
    <n v="8340"/>
    <n v="911"/>
    <n v="264494"/>
    <n v="37.302925586213682"/>
    <n v="48659"/>
    <n v="2.8087593669421613E-2"/>
    <x v="28"/>
    <x v="7"/>
    <m/>
  </r>
  <r>
    <d v="2024-07-22T00:00:00"/>
    <x v="1"/>
    <n v="8179"/>
    <n v="446"/>
    <n v="272227"/>
    <n v="41.82171496581897"/>
    <n v="43848"/>
    <n v="2.8406440213498294E-2"/>
    <x v="29"/>
    <x v="7"/>
    <m/>
  </r>
  <r>
    <d v="2024-07-22T00:00:00"/>
    <x v="3"/>
    <n v="8967"/>
    <n v="993"/>
    <n v="280201"/>
    <n v="52.792102811910027"/>
    <n v="47804"/>
    <n v="2.8458142547671136E-2"/>
    <x v="30"/>
    <x v="7"/>
    <m/>
  </r>
  <r>
    <d v="2024-07-22T00:00:00"/>
    <x v="2"/>
    <n v="9734"/>
    <n v="652"/>
    <n v="289283"/>
    <n v="49.647922622483861"/>
    <n v="25379"/>
    <n v="3.1394862470314533E-2"/>
    <x v="31"/>
    <x v="7"/>
    <n v="7712"/>
  </r>
  <r>
    <d v="2024-07-29T00:00:00"/>
    <x v="3"/>
    <n v="1845"/>
    <n v="104"/>
    <n v="291024"/>
    <n v="28.158158777282971"/>
    <n v="37766"/>
    <n v="5.9823244818296775E-3"/>
    <x v="32"/>
    <x v="8"/>
    <m/>
  </r>
  <r>
    <d v="2024-07-29T00:00:00"/>
    <x v="3"/>
    <n v="6777"/>
    <n v="981"/>
    <n v="296820"/>
    <n v="23.920557913887201"/>
    <n v="53590"/>
    <n v="1.952698605215282E-2"/>
    <x v="33"/>
    <x v="8"/>
    <m/>
  </r>
  <r>
    <d v="2024-07-29T00:00:00"/>
    <x v="2"/>
    <n v="4036"/>
    <n v="591"/>
    <n v="300265"/>
    <n v="44.219272975538267"/>
    <n v="12563"/>
    <n v="1.1473198674504187E-2"/>
    <x v="34"/>
    <x v="8"/>
    <m/>
  </r>
  <r>
    <d v="2024-07-29T00:00:00"/>
    <x v="1"/>
    <n v="6947"/>
    <n v="908"/>
    <n v="306304"/>
    <n v="14.117673944839121"/>
    <n v="46060"/>
    <n v="1.9715707271207691E-2"/>
    <x v="35"/>
    <x v="8"/>
    <n v="3660.6666666666665"/>
  </r>
  <r>
    <d v="2024-08-05T00:00:00"/>
    <x v="0"/>
    <n v="3494"/>
    <n v="281"/>
    <n v="309517"/>
    <n v="27.765518533715429"/>
    <n v="39197"/>
    <n v="1.0380689913639638E-2"/>
    <x v="36"/>
    <x v="9"/>
    <m/>
  </r>
  <r>
    <d v="2024-08-05T00:00:00"/>
    <x v="1"/>
    <n v="3719"/>
    <n v="222"/>
    <n v="313014"/>
    <n v="21.669318305251519"/>
    <n v="13586"/>
    <n v="1.1172024254506188E-2"/>
    <x v="37"/>
    <x v="9"/>
    <m/>
  </r>
  <r>
    <d v="2024-08-05T00:00:00"/>
    <x v="2"/>
    <n v="2884"/>
    <n v="341"/>
    <n v="315557"/>
    <n v="46.999749649033298"/>
    <n v="26087"/>
    <n v="8.058765928184131E-3"/>
    <x v="38"/>
    <x v="9"/>
    <m/>
  </r>
  <r>
    <d v="2024-08-05T00:00:00"/>
    <x v="3"/>
    <n v="5349"/>
    <n v="502"/>
    <n v="320404"/>
    <n v="5.2152906954969351"/>
    <n v="58868"/>
    <n v="1.5127776182569505E-2"/>
    <x v="39"/>
    <x v="9"/>
    <n v="3525"/>
  </r>
  <r>
    <d v="2024-08-12T00:00:00"/>
    <x v="1"/>
    <n v="6179"/>
    <n v="384"/>
    <n v="326199"/>
    <n v="14.71218489327067"/>
    <n v="33225"/>
    <n v="1.7765229200580015E-2"/>
    <x v="40"/>
    <x v="10"/>
    <m/>
  </r>
  <r>
    <d v="2024-08-12T00:00:00"/>
    <x v="0"/>
    <n v="7610"/>
    <n v="757"/>
    <n v="333052"/>
    <n v="44.450416151231643"/>
    <n v="39750"/>
    <n v="2.0576366453286574E-2"/>
    <x v="41"/>
    <x v="10"/>
    <m/>
  </r>
  <r>
    <d v="2024-08-12T00:00:00"/>
    <x v="2"/>
    <n v="7430"/>
    <n v="397"/>
    <n v="340085"/>
    <n v="28.065042562888689"/>
    <n v="16643"/>
    <n v="2.0680124086625402E-2"/>
    <x v="42"/>
    <x v="10"/>
    <m/>
  </r>
  <r>
    <d v="2024-08-12T00:00:00"/>
    <x v="1"/>
    <n v="8154"/>
    <n v="1149"/>
    <n v="347090"/>
    <n v="26.003918292085629"/>
    <n v="37523"/>
    <n v="2.0182085338096747E-2"/>
    <x v="43"/>
    <x v="10"/>
    <n v="6963.666666666667"/>
  </r>
  <r>
    <d v="2024-08-19T00:00:00"/>
    <x v="0"/>
    <n v="7488"/>
    <n v="568"/>
    <n v="354010"/>
    <n v="13.47730290104799"/>
    <n v="46727"/>
    <n v="1.9547470410440384E-2"/>
    <x v="44"/>
    <x v="11"/>
    <m/>
  </r>
  <r>
    <d v="2024-08-19T00:00:00"/>
    <x v="2"/>
    <n v="5737"/>
    <n v="666"/>
    <n v="359081"/>
    <n v="4.6034181702735593"/>
    <n v="21005"/>
    <n v="1.4122161852061233E-2"/>
    <x v="45"/>
    <x v="11"/>
    <m/>
  </r>
  <r>
    <d v="2024-08-19T00:00:00"/>
    <x v="0"/>
    <n v="7525"/>
    <n v="610"/>
    <n v="365996"/>
    <n v="5.7694619613329108"/>
    <n v="53543"/>
    <n v="1.8893649110919244E-2"/>
    <x v="46"/>
    <x v="11"/>
    <m/>
  </r>
  <r>
    <d v="2024-08-19T00:00:00"/>
    <x v="2"/>
    <n v="4850"/>
    <n v="494"/>
    <n v="370352"/>
    <n v="20.46539508359615"/>
    <n v="10161"/>
    <n v="1.176178338445587E-2"/>
    <x v="47"/>
    <x v="11"/>
    <n v="6302"/>
  </r>
  <r>
    <d v="2024-08-26T00:00:00"/>
    <x v="3"/>
    <n v="1689"/>
    <n v="176"/>
    <n v="371865"/>
    <n v="38.012181840183942"/>
    <n v="26029"/>
    <n v="4.068680838476329E-3"/>
    <x v="48"/>
    <x v="12"/>
    <m/>
  </r>
  <r>
    <d v="2024-08-26T00:00:00"/>
    <x v="1"/>
    <n v="6175"/>
    <n v="422"/>
    <n v="377618"/>
    <n v="37.86101298137271"/>
    <n v="59745"/>
    <n v="1.523497290913039E-2"/>
    <x v="49"/>
    <x v="12"/>
    <m/>
  </r>
  <r>
    <d v="2024-08-26T00:00:00"/>
    <x v="0"/>
    <n v="9648"/>
    <n v="1417"/>
    <n v="385849"/>
    <n v="3.6633501706626168"/>
    <n v="24226"/>
    <n v="2.1332179168534842E-2"/>
    <x v="50"/>
    <x v="12"/>
    <m/>
  </r>
  <r>
    <d v="2024-08-26T00:00:00"/>
    <x v="2"/>
    <n v="6078"/>
    <n v="775"/>
    <n v="391152"/>
    <n v="37.760512537325639"/>
    <n v="38731"/>
    <n v="1.3557389454738823E-2"/>
    <x v="51"/>
    <x v="12"/>
    <n v="5165.666666666667"/>
  </r>
  <r>
    <d v="2024-09-02T00:00:00"/>
    <x v="0"/>
    <n v="6448"/>
    <n v="928"/>
    <n v="396672"/>
    <n v="30.118586640851881"/>
    <n v="53922"/>
    <n v="1.3915779283639884E-2"/>
    <x v="52"/>
    <x v="13"/>
    <m/>
  </r>
  <r>
    <d v="2024-09-02T00:00:00"/>
    <x v="0"/>
    <n v="2179"/>
    <n v="303"/>
    <n v="398548"/>
    <n v="33.909842729106657"/>
    <n v="54848"/>
    <n v="4.7070867248110645E-3"/>
    <x v="53"/>
    <x v="13"/>
    <m/>
  </r>
  <r>
    <d v="2024-09-02T00:00:00"/>
    <x v="1"/>
    <n v="7406"/>
    <n v="813"/>
    <n v="405141"/>
    <n v="24.457411123534769"/>
    <n v="13390"/>
    <n v="1.6273346810122897E-2"/>
    <x v="54"/>
    <x v="13"/>
    <m/>
  </r>
  <r>
    <d v="2024-09-02T00:00:00"/>
    <x v="3"/>
    <n v="9591"/>
    <n v="1363"/>
    <n v="413369"/>
    <n v="10.494255737609739"/>
    <n v="15997"/>
    <n v="1.9904734026983156E-2"/>
    <x v="55"/>
    <x v="13"/>
    <n v="5554.25"/>
  </r>
  <r>
    <d v="2024-09-09T00:00:00"/>
    <x v="0"/>
    <n v="7907"/>
    <n v="465"/>
    <n v="420811"/>
    <n v="33.257448118038738"/>
    <n v="22693"/>
    <n v="1.76848989213685E-2"/>
    <x v="56"/>
    <x v="14"/>
    <m/>
  </r>
  <r>
    <d v="2024-09-09T00:00:00"/>
    <x v="2"/>
    <n v="9800"/>
    <n v="682"/>
    <n v="429929"/>
    <n v="6.2966210699906267"/>
    <n v="59815"/>
    <n v="2.1208152974095722E-2"/>
    <x v="57"/>
    <x v="14"/>
    <m/>
  </r>
  <r>
    <d v="2024-09-09T00:00:00"/>
    <x v="2"/>
    <n v="2638"/>
    <n v="143"/>
    <n v="432424"/>
    <n v="6.9547481175882924"/>
    <n v="52092"/>
    <n v="5.7698000111002165E-3"/>
    <x v="58"/>
    <x v="14"/>
    <m/>
  </r>
  <r>
    <d v="2024-09-09T00:00:00"/>
    <x v="3"/>
    <n v="6671"/>
    <n v="550"/>
    <n v="438545"/>
    <n v="17.750287883797562"/>
    <n v="10541"/>
    <n v="1.3957518612685129E-2"/>
    <x v="59"/>
    <x v="14"/>
    <n v="5911.333333333333"/>
  </r>
  <r>
    <d v="2024-09-16T00:00:00"/>
    <x v="2"/>
    <n v="7928"/>
    <n v="704"/>
    <n v="445769"/>
    <n v="11.194362999670229"/>
    <n v="31817"/>
    <n v="1.6205702953772022E-2"/>
    <x v="60"/>
    <x v="15"/>
    <m/>
  </r>
  <r>
    <d v="2024-09-16T00:00:00"/>
    <x v="3"/>
    <n v="2382"/>
    <n v="183"/>
    <n v="447968"/>
    <n v="4.7335970426459033"/>
    <n v="47861"/>
    <n v="4.9088327737695546E-3"/>
    <x v="61"/>
    <x v="15"/>
    <m/>
  </r>
  <r>
    <d v="2024-09-16T00:00:00"/>
    <x v="2"/>
    <n v="2403"/>
    <n v="319"/>
    <n v="450052"/>
    <n v="29.92120910472568"/>
    <n v="23428"/>
    <n v="4.6305760223263092E-3"/>
    <x v="62"/>
    <x v="15"/>
    <m/>
  </r>
  <r>
    <d v="2024-09-16T00:00:00"/>
    <x v="1"/>
    <n v="4292"/>
    <n v="367"/>
    <n v="453977"/>
    <n v="3.5037017293827661"/>
    <n v="53934"/>
    <n v="8.6458124530537899E-3"/>
    <x v="63"/>
    <x v="15"/>
    <n v="3835.6666666666665"/>
  </r>
  <r>
    <d v="2024-09-23T00:00:00"/>
    <x v="0"/>
    <n v="1419"/>
    <n v="110"/>
    <n v="455286"/>
    <n v="31.554451487636339"/>
    <n v="58831"/>
    <n v="2.8751158612388694E-3"/>
    <x v="64"/>
    <x v="16"/>
    <m/>
  </r>
  <r>
    <d v="2024-09-23T00:00:00"/>
    <x v="1"/>
    <n v="5517"/>
    <n v="575"/>
    <n v="460228"/>
    <n v="29.45844233727631"/>
    <n v="20258"/>
    <n v="1.07381558705685E-2"/>
    <x v="65"/>
    <x v="16"/>
    <m/>
  </r>
  <r>
    <d v="2024-09-23T00:00:00"/>
    <x v="0"/>
    <n v="4302"/>
    <n v="275"/>
    <n v="464255"/>
    <n v="15.72131694865968"/>
    <n v="26044"/>
    <n v="8.6741122874282456E-3"/>
    <x v="66"/>
    <x v="16"/>
    <m/>
  </r>
  <r>
    <d v="2024-09-23T00:00:00"/>
    <x v="0"/>
    <n v="8857"/>
    <n v="1153"/>
    <n v="471959"/>
    <n v="19.214592793018038"/>
    <n v="39411"/>
    <n v="1.6323451825264481E-2"/>
    <x v="67"/>
    <x v="16"/>
    <n v="3426"/>
  </r>
  <r>
    <d v="2024-09-30T00:00:00"/>
    <x v="0"/>
    <n v="8870"/>
    <n v="509"/>
    <n v="480320"/>
    <n v="25.077864756828781"/>
    <n v="15469"/>
    <n v="1.7407145236508995E-2"/>
    <x v="68"/>
    <x v="17"/>
    <m/>
  </r>
  <r>
    <d v="2024-09-30T00:00:00"/>
    <x v="1"/>
    <n v="6693"/>
    <n v="995"/>
    <n v="486018"/>
    <n v="23.761877132122681"/>
    <n v="38854"/>
    <n v="1.1723845618886543E-2"/>
    <x v="69"/>
    <x v="17"/>
    <m/>
  </r>
  <r>
    <d v="2024-09-30T00:00:00"/>
    <x v="0"/>
    <n v="1767"/>
    <n v="224"/>
    <n v="487561"/>
    <n v="13.208603641390511"/>
    <n v="16256"/>
    <n v="3.1647322078673231E-3"/>
    <x v="70"/>
    <x v="17"/>
    <m/>
  </r>
  <r>
    <d v="2024-09-30T00:00:00"/>
    <x v="1"/>
    <n v="3044"/>
    <n v="212"/>
    <n v="490393"/>
    <n v="8.5343795690395261"/>
    <n v="20720"/>
    <n v="5.7749600830354431E-3"/>
    <x v="71"/>
    <x v="17"/>
    <n v="4608.5"/>
  </r>
  <r>
    <d v="2024-10-07T00:00:00"/>
    <x v="3"/>
    <n v="2549"/>
    <n v="128"/>
    <n v="492814"/>
    <n v="12.734216154573531"/>
    <n v="43937"/>
    <n v="4.9126039438814641E-3"/>
    <x v="72"/>
    <x v="18"/>
    <m/>
  </r>
  <r>
    <d v="2024-10-07T00:00:00"/>
    <x v="2"/>
    <n v="7140"/>
    <n v="939"/>
    <n v="499015"/>
    <n v="25.120888149654821"/>
    <n v="43598"/>
    <n v="1.2426480165926877E-2"/>
    <x v="73"/>
    <x v="18"/>
    <m/>
  </r>
  <r>
    <d v="2024-10-07T00:00:00"/>
    <x v="2"/>
    <n v="4716"/>
    <n v="569"/>
    <n v="503162"/>
    <n v="25.64820077827817"/>
    <n v="11651"/>
    <n v="8.2418783612434963E-3"/>
    <x v="74"/>
    <x v="18"/>
    <m/>
  </r>
  <r>
    <d v="2024-10-07T00:00:00"/>
    <x v="0"/>
    <n v="5481"/>
    <n v="673"/>
    <n v="507970"/>
    <n v="13.08758391243577"/>
    <n v="29194"/>
    <n v="9.4651258932614123E-3"/>
    <x v="75"/>
    <x v="18"/>
    <n v="5052"/>
  </r>
  <r>
    <d v="2024-10-14T00:00:00"/>
    <x v="1"/>
    <n v="8898"/>
    <n v="1131"/>
    <n v="515737"/>
    <n v="2.1877429775253669"/>
    <n v="35051"/>
    <n v="1.5060001512398761E-2"/>
    <x v="76"/>
    <x v="19"/>
    <m/>
  </r>
  <r>
    <d v="2024-10-14T00:00:00"/>
    <x v="2"/>
    <n v="7548"/>
    <n v="433"/>
    <n v="522852"/>
    <n v="8.3562843787534522"/>
    <n v="37386"/>
    <n v="1.3608057347012157E-2"/>
    <x v="77"/>
    <x v="19"/>
    <m/>
  </r>
  <r>
    <d v="2024-10-14T00:00:00"/>
    <x v="1"/>
    <n v="3293"/>
    <n v="282"/>
    <n v="525863"/>
    <n v="27.040693108281051"/>
    <n v="19518"/>
    <n v="5.7258259280458983E-3"/>
    <x v="78"/>
    <x v="19"/>
    <m/>
  </r>
  <r>
    <d v="2024-10-14T00:00:00"/>
    <x v="1"/>
    <n v="5837"/>
    <n v="359"/>
    <n v="531341"/>
    <n v="6.8073045370110723"/>
    <n v="56026"/>
    <n v="1.0309763409938251E-2"/>
    <x v="79"/>
    <x v="19"/>
    <n v="5964.333333333333"/>
  </r>
  <r>
    <d v="2024-10-21T00:00:00"/>
    <x v="0"/>
    <n v="8758"/>
    <n v="1193"/>
    <n v="538906"/>
    <n v="3.4213758985797149"/>
    <n v="26184"/>
    <n v="1.4037698596786824E-2"/>
    <x v="80"/>
    <x v="20"/>
    <m/>
  </r>
  <r>
    <d v="2024-10-21T00:00:00"/>
    <x v="2"/>
    <n v="7793"/>
    <n v="875"/>
    <n v="545824"/>
    <n v="5.5136820660139527"/>
    <n v="43787"/>
    <n v="1.267441519610717E-2"/>
    <x v="81"/>
    <x v="20"/>
    <m/>
  </r>
  <r>
    <d v="2024-10-21T00:00:00"/>
    <x v="0"/>
    <n v="8638"/>
    <n v="717"/>
    <n v="553745"/>
    <n v="26.921416897669499"/>
    <n v="31621"/>
    <n v="1.4304418098583283E-2"/>
    <x v="82"/>
    <x v="20"/>
    <m/>
  </r>
  <r>
    <d v="2024-10-21T00:00:00"/>
    <x v="0"/>
    <n v="8993"/>
    <n v="506"/>
    <n v="562232"/>
    <n v="3.5131404829323132"/>
    <n v="20028"/>
    <n v="1.509519202037593E-2"/>
    <x v="83"/>
    <x v="20"/>
    <n v="7468"/>
  </r>
  <r>
    <d v="2024-10-28T00:00:00"/>
    <x v="2"/>
    <n v="7007"/>
    <n v="568"/>
    <n v="568671"/>
    <n v="11.50507059442103"/>
    <n v="22448"/>
    <n v="1.1322891443382905E-2"/>
    <x v="84"/>
    <x v="21"/>
    <m/>
  </r>
  <r>
    <d v="2024-10-28T00:00:00"/>
    <x v="2"/>
    <n v="6542"/>
    <n v="539"/>
    <n v="574674"/>
    <n v="6.4069368024305948"/>
    <n v="55253"/>
    <n v="1.0445922383821088E-2"/>
    <x v="85"/>
    <x v="21"/>
    <m/>
  </r>
  <r>
    <d v="2024-10-28T00:00:00"/>
    <x v="3"/>
    <n v="7356"/>
    <n v="904"/>
    <n v="581126"/>
    <n v="17.560907617280929"/>
    <n v="44051"/>
    <n v="1.1102583604932494E-2"/>
    <x v="86"/>
    <x v="21"/>
    <m/>
  </r>
  <r>
    <d v="2024-10-28T00:00:00"/>
    <x v="3"/>
    <n v="9433"/>
    <n v="1073"/>
    <n v="589486"/>
    <n v="7.2934726185185053"/>
    <n v="59811"/>
    <n v="1.4181846557848703E-2"/>
    <x v="87"/>
    <x v="21"/>
    <n v="6813.5"/>
  </r>
  <r>
    <d v="2024-11-04T00:00:00"/>
    <x v="1"/>
    <n v="8380"/>
    <n v="1162"/>
    <n v="596704"/>
    <n v="18.05853488496809"/>
    <n v="40447"/>
    <n v="1.2096449831072022E-2"/>
    <x v="88"/>
    <x v="22"/>
    <m/>
  </r>
  <r>
    <d v="2024-11-04T00:00:00"/>
    <x v="2"/>
    <n v="3385"/>
    <n v="329"/>
    <n v="599760"/>
    <n v="17.61788048552755"/>
    <n v="28394"/>
    <n v="5.0953714819261036E-3"/>
    <x v="89"/>
    <x v="22"/>
    <m/>
  </r>
  <r>
    <d v="2024-11-04T00:00:00"/>
    <x v="3"/>
    <n v="5268"/>
    <n v="326"/>
    <n v="604702"/>
    <n v="23.435841125050029"/>
    <n v="44501"/>
    <n v="8.1726205635172366E-3"/>
    <x v="65"/>
    <x v="22"/>
    <m/>
  </r>
  <r>
    <d v="2024-11-04T00:00:00"/>
    <x v="1"/>
    <n v="1671"/>
    <n v="202"/>
    <n v="606171"/>
    <n v="15.150015424690389"/>
    <n v="40254"/>
    <n v="2.4234085761278583E-3"/>
    <x v="90"/>
    <x v="22"/>
    <n v="3155.6666666666665"/>
  </r>
  <r>
    <d v="2024-11-11T00:00:00"/>
    <x v="1"/>
    <n v="1163"/>
    <n v="146"/>
    <n v="607188"/>
    <n v="21.77776899411715"/>
    <n v="28509"/>
    <n v="1.6749342872388782E-3"/>
    <x v="91"/>
    <x v="23"/>
    <m/>
  </r>
  <r>
    <d v="2024-11-11T00:00:00"/>
    <x v="1"/>
    <n v="9656"/>
    <n v="1024"/>
    <n v="615820"/>
    <n v="8.7252768666168681"/>
    <n v="58998"/>
    <n v="1.401708291383846E-2"/>
    <x v="92"/>
    <x v="23"/>
    <m/>
  </r>
  <r>
    <d v="2024-11-11T00:00:00"/>
    <x v="3"/>
    <n v="5592"/>
    <n v="710"/>
    <n v="620702"/>
    <n v="9.07118069540617"/>
    <n v="24472"/>
    <n v="7.8652880126050834E-3"/>
    <x v="93"/>
    <x v="23"/>
    <m/>
  </r>
  <r>
    <d v="2024-11-11T00:00:00"/>
    <x v="2"/>
    <n v="5795"/>
    <n v="575"/>
    <n v="625922"/>
    <n v="3.0908004511744269"/>
    <n v="55657"/>
    <n v="8.3396972785746461E-3"/>
    <x v="94"/>
    <x v="23"/>
    <n v="4843.666666666667"/>
  </r>
  <r>
    <d v="2024-11-18T00:00:00"/>
    <x v="0"/>
    <n v="5798"/>
    <n v="592"/>
    <n v="631128"/>
    <n v="1.6774727155188811"/>
    <n v="13471"/>
    <n v="8.2487229214992831E-3"/>
    <x v="95"/>
    <x v="24"/>
    <m/>
  </r>
  <r>
    <d v="2024-11-18T00:00:00"/>
    <x v="1"/>
    <n v="7036"/>
    <n v="652"/>
    <n v="637512"/>
    <n v="3.5705994553828009"/>
    <n v="51796"/>
    <n v="1.0013929149568949E-2"/>
    <x v="96"/>
    <x v="24"/>
    <m/>
  </r>
  <r>
    <d v="2024-11-18T00:00:00"/>
    <x v="3"/>
    <n v="3355"/>
    <n v="176"/>
    <n v="640691"/>
    <n v="12.426427091999111"/>
    <n v="40268"/>
    <n v="4.9618302738761748E-3"/>
    <x v="97"/>
    <x v="24"/>
    <m/>
  </r>
  <r>
    <d v="2024-11-18T00:00:00"/>
    <x v="3"/>
    <n v="6887"/>
    <n v="418"/>
    <n v="647160"/>
    <n v="20.240280610668151"/>
    <n v="18329"/>
    <n v="9.9959824463811114E-3"/>
    <x v="98"/>
    <x v="24"/>
    <n v="4923"/>
  </r>
  <r>
    <d v="2024-11-25T00:00:00"/>
    <x v="0"/>
    <n v="8961"/>
    <n v="476"/>
    <n v="655645"/>
    <n v="15.458517947974901"/>
    <n v="44865"/>
    <n v="1.2941454598143812E-2"/>
    <x v="99"/>
    <x v="25"/>
    <m/>
  </r>
  <r>
    <d v="2024-11-25T00:00:00"/>
    <x v="0"/>
    <n v="6827"/>
    <n v="775"/>
    <n v="661697"/>
    <n v="15.96622018839439"/>
    <n v="56850"/>
    <n v="9.1461802003031598E-3"/>
    <x v="100"/>
    <x v="25"/>
    <m/>
  </r>
  <r>
    <d v="2024-11-25T00:00:00"/>
    <x v="3"/>
    <n v="9737"/>
    <n v="792"/>
    <n v="670642"/>
    <n v="5.301785453341723"/>
    <n v="56698"/>
    <n v="1.3337965710468476E-2"/>
    <x v="101"/>
    <x v="25"/>
    <m/>
  </r>
  <r>
    <d v="2024-11-25T00:00:00"/>
    <x v="2"/>
    <n v="5719"/>
    <n v="576"/>
    <n v="675785"/>
    <n v="10.21656296011305"/>
    <n v="38272"/>
    <n v="7.6104086358827145E-3"/>
    <x v="102"/>
    <x v="25"/>
    <n v="7156.25"/>
  </r>
  <r>
    <d v="2024-12-02T00:00:00"/>
    <x v="0"/>
    <n v="1593"/>
    <n v="224"/>
    <n v="677154"/>
    <n v="4.1495730660972248"/>
    <n v="52845"/>
    <n v="2.0216966893793729E-3"/>
    <x v="103"/>
    <x v="26"/>
    <m/>
  </r>
  <r>
    <d v="2024-12-02T00:00:00"/>
    <x v="3"/>
    <n v="5839"/>
    <n v="437"/>
    <n v="682556"/>
    <n v="17.44750613869045"/>
    <n v="16397"/>
    <n v="7.9143689309009082E-3"/>
    <x v="104"/>
    <x v="26"/>
    <m/>
  </r>
  <r>
    <d v="2024-12-02T00:00:00"/>
    <x v="0"/>
    <n v="8394"/>
    <n v="764"/>
    <n v="690186"/>
    <n v="6.3556780346167558"/>
    <n v="42373"/>
    <n v="1.1054990973447738E-2"/>
    <x v="105"/>
    <x v="26"/>
    <m/>
  </r>
  <r>
    <d v="2024-12-02T00:00:00"/>
    <x v="2"/>
    <n v="4493"/>
    <n v="564"/>
    <n v="694115"/>
    <n v="16.625487131094989"/>
    <n v="45525"/>
    <n v="5.660445315257558E-3"/>
    <x v="106"/>
    <x v="26"/>
    <n v="5653.666666666667"/>
  </r>
  <r>
    <d v="2024-12-09T00:00:00"/>
    <x v="1"/>
    <n v="7164"/>
    <n v="522"/>
    <n v="700757"/>
    <n v="13.449169969047761"/>
    <n v="34570"/>
    <n v="9.4783213011072308E-3"/>
    <x v="107"/>
    <x v="27"/>
    <m/>
  </r>
  <r>
    <d v="2024-12-09T00:00:00"/>
    <x v="0"/>
    <n v="3672"/>
    <n v="211"/>
    <n v="704218"/>
    <n v="12.35057894004413"/>
    <n v="28284"/>
    <n v="4.9146713091684675E-3"/>
    <x v="108"/>
    <x v="27"/>
    <m/>
  </r>
  <r>
    <d v="2024-12-09T00:00:00"/>
    <x v="2"/>
    <n v="5200"/>
    <n v="410"/>
    <n v="709008"/>
    <n v="12.913394489201821"/>
    <n v="28994"/>
    <n v="6.7559181278631555E-3"/>
    <x v="109"/>
    <x v="27"/>
    <m/>
  </r>
  <r>
    <d v="2024-12-09T00:00:00"/>
    <x v="3"/>
    <n v="1016"/>
    <n v="67"/>
    <n v="709957"/>
    <n v="20.774215903216671"/>
    <n v="33284"/>
    <n v="1.3367006734210664E-3"/>
    <x v="110"/>
    <x v="27"/>
    <n v="4964.333333333333"/>
  </r>
  <r>
    <d v="2024-12-16T00:00:00"/>
    <x v="0"/>
    <n v="4191"/>
    <n v="599"/>
    <n v="713549"/>
    <n v="11.56416728213479"/>
    <n v="27833"/>
    <n v="5.033992059410076E-3"/>
    <x v="111"/>
    <x v="28"/>
    <m/>
  </r>
  <r>
    <d v="2024-12-16T00:00:00"/>
    <x v="0"/>
    <n v="1392"/>
    <n v="182"/>
    <n v="714759"/>
    <n v="5.9603306848881932"/>
    <n v="35122"/>
    <n v="1.6928782988391892E-3"/>
    <x v="112"/>
    <x v="28"/>
    <m/>
  </r>
  <r>
    <d v="2024-12-16T00:00:00"/>
    <x v="3"/>
    <n v="9616"/>
    <n v="1089"/>
    <n v="723286"/>
    <n v="19.25863351426683"/>
    <n v="15017"/>
    <n v="1.178925072516266E-2"/>
    <x v="113"/>
    <x v="28"/>
    <m/>
  </r>
  <r>
    <d v="2024-12-16T00:00:00"/>
    <x v="1"/>
    <n v="7272"/>
    <n v="997"/>
    <n v="729561"/>
    <n v="13.428486445958599"/>
    <n v="26370"/>
    <n v="8.6010628309353167E-3"/>
    <x v="114"/>
    <x v="28"/>
    <n v="4443"/>
  </r>
  <r>
    <d v="2024-12-23T00:00:00"/>
    <x v="3"/>
    <n v="1571"/>
    <n v="204"/>
    <n v="730928"/>
    <n v="19.449384891535139"/>
    <n v="39252"/>
    <n v="1.8702252479040344E-3"/>
    <x v="115"/>
    <x v="29"/>
    <m/>
  </r>
  <r>
    <d v="2024-12-23T00:00:00"/>
    <x v="0"/>
    <n v="4631"/>
    <n v="317"/>
    <n v="735242"/>
    <n v="1.381177897889402"/>
    <n v="17999"/>
    <n v="5.8674558852731479E-3"/>
    <x v="116"/>
    <x v="29"/>
    <m/>
  </r>
  <r>
    <d v="2024-12-23T00:00:00"/>
    <x v="3"/>
    <n v="7172"/>
    <n v="998"/>
    <n v="741416"/>
    <n v="18.0667803230575"/>
    <n v="32436"/>
    <n v="8.32730882527488E-3"/>
    <x v="117"/>
    <x v="29"/>
    <m/>
  </r>
  <r>
    <d v="2024-12-23T00:00:00"/>
    <x v="2"/>
    <n v="8177"/>
    <n v="849"/>
    <n v="748744"/>
    <n v="10.34986590877523"/>
    <n v="52963"/>
    <n v="9.7870567243276748E-3"/>
    <x v="118"/>
    <x v="29"/>
    <n v="4795.75"/>
  </r>
  <r>
    <d v="2024-12-30T00:00:00"/>
    <x v="3"/>
    <n v="9433"/>
    <n v="1233"/>
    <n v="756944"/>
    <n v="11.391727789638329"/>
    <n v="12096"/>
    <n v="1.0833033883616226E-2"/>
    <x v="119"/>
    <x v="30"/>
    <m/>
  </r>
  <r>
    <d v="2024-12-30T00:00:00"/>
    <x v="0"/>
    <n v="4897"/>
    <n v="683"/>
    <n v="761158"/>
    <n v="15.06231294947961"/>
    <n v="58201"/>
    <n v="5.5363012672795921E-3"/>
    <x v="120"/>
    <x v="30"/>
    <m/>
  </r>
  <r>
    <d v="2024-12-30T00:00:00"/>
    <x v="3"/>
    <n v="9123"/>
    <n v="746"/>
    <n v="769535"/>
    <n v="6.3086149427901264"/>
    <n v="35279"/>
    <n v="1.0885794668208723E-2"/>
    <x v="121"/>
    <x v="30"/>
    <m/>
  </r>
  <r>
    <d v="2024-12-30T00:00:00"/>
    <x v="1"/>
    <n v="3279"/>
    <n v="200"/>
    <n v="772614"/>
    <n v="5.0212654702089274"/>
    <n v="53363"/>
    <n v="3.9851724146857288E-3"/>
    <x v="122"/>
    <x v="30"/>
    <n v="5223.333333333333"/>
  </r>
  <r>
    <d v="2025-01-06T00:00:00"/>
    <x v="3"/>
    <n v="9980"/>
    <n v="726"/>
    <n v="781868"/>
    <n v="4.0220344099003924"/>
    <n v="58709"/>
    <n v="1.1835757442432739E-2"/>
    <x v="123"/>
    <x v="31"/>
    <m/>
  </r>
  <r>
    <d v="2025-01-06T00:00:00"/>
    <x v="1"/>
    <n v="8451"/>
    <n v="783"/>
    <n v="789536"/>
    <n v="12.407287318121019"/>
    <n v="36201"/>
    <n v="9.7120333968305442E-3"/>
    <x v="124"/>
    <x v="31"/>
    <m/>
  </r>
  <r>
    <d v="2025-01-06T00:00:00"/>
    <x v="2"/>
    <n v="9906"/>
    <n v="1305"/>
    <n v="798137"/>
    <n v="9.1811305577864442"/>
    <n v="29715"/>
    <n v="1.0776345414383746E-2"/>
    <x v="125"/>
    <x v="31"/>
    <m/>
  </r>
  <r>
    <d v="2025-01-06T00:00:00"/>
    <x v="1"/>
    <n v="1775"/>
    <n v="241"/>
    <n v="799671"/>
    <n v="8.1379717408784362"/>
    <n v="39309"/>
    <n v="1.918288896308607E-3"/>
    <x v="126"/>
    <x v="31"/>
    <n v="8507.6666666666661"/>
  </r>
  <r>
    <d v="2025-01-13T00:00:00"/>
    <x v="3"/>
    <n v="7869"/>
    <n v="398"/>
    <n v="807142"/>
    <n v="15.211945357818079"/>
    <n v="25078"/>
    <n v="9.2561160241940079E-3"/>
    <x v="127"/>
    <x v="32"/>
    <m/>
  </r>
  <r>
    <d v="2025-01-13T00:00:00"/>
    <x v="0"/>
    <n v="3247"/>
    <n v="328"/>
    <n v="810061"/>
    <n v="13.941172331466399"/>
    <n v="15105"/>
    <n v="3.6034323341081723E-3"/>
    <x v="128"/>
    <x v="32"/>
    <m/>
  </r>
  <r>
    <d v="2025-01-13T00:00:00"/>
    <x v="1"/>
    <n v="8088"/>
    <n v="742"/>
    <n v="817407"/>
    <n v="14.664542877660701"/>
    <n v="39312"/>
    <n v="8.9869550909155421E-3"/>
    <x v="129"/>
    <x v="32"/>
    <m/>
  </r>
  <r>
    <d v="2025-01-13T00:00:00"/>
    <x v="2"/>
    <n v="1078"/>
    <n v="77"/>
    <n v="818408"/>
    <n v="18.236747441373989"/>
    <n v="12839"/>
    <n v="1.2231063234963489E-3"/>
    <x v="130"/>
    <x v="32"/>
    <n v="5912"/>
  </r>
  <r>
    <d v="2025-01-20T00:00:00"/>
    <x v="1"/>
    <n v="9080"/>
    <n v="562"/>
    <n v="826926"/>
    <n v="7.1083748727213809"/>
    <n v="13384"/>
    <n v="1.0300800797169276E-2"/>
    <x v="131"/>
    <x v="33"/>
    <m/>
  </r>
  <r>
    <d v="2025-01-20T00:00:00"/>
    <x v="1"/>
    <n v="8099"/>
    <n v="678"/>
    <n v="834347"/>
    <n v="7.6464588474579518"/>
    <n v="53619"/>
    <n v="8.8943808751035247E-3"/>
    <x v="132"/>
    <x v="33"/>
    <m/>
  </r>
  <r>
    <d v="2025-01-20T00:00:00"/>
    <x v="1"/>
    <n v="4926"/>
    <n v="710"/>
    <n v="838563"/>
    <n v="12.96217457722318"/>
    <n v="52821"/>
    <n v="5.0276484891415433E-3"/>
    <x v="133"/>
    <x v="33"/>
    <m/>
  </r>
  <r>
    <d v="2025-01-20T00:00:00"/>
    <x v="2"/>
    <n v="8340"/>
    <n v="686"/>
    <n v="846217"/>
    <n v="7.201344336027284"/>
    <n v="23493"/>
    <n v="9.0449612806171465E-3"/>
    <x v="134"/>
    <x v="33"/>
    <n v="6952.25"/>
  </r>
  <r>
    <d v="2025-01-27T00:00:00"/>
    <x v="3"/>
    <n v="8083"/>
    <n v="823"/>
    <n v="853477"/>
    <n v="4.6300017457998282"/>
    <n v="27069"/>
    <n v="8.5063803711172073E-3"/>
    <x v="135"/>
    <x v="34"/>
    <m/>
  </r>
  <r>
    <d v="2025-01-27T00:00:00"/>
    <x v="1"/>
    <n v="7230"/>
    <n v="869"/>
    <n v="859838"/>
    <n v="7.0117859410726204"/>
    <n v="56907"/>
    <n v="7.397905186791E-3"/>
    <x v="136"/>
    <x v="34"/>
    <m/>
  </r>
  <r>
    <d v="2025-01-27T00:00:00"/>
    <x v="1"/>
    <n v="5940"/>
    <n v="512"/>
    <n v="865266"/>
    <n v="15.7972230504839"/>
    <n v="17531"/>
    <n v="6.2732154042803023E-3"/>
    <x v="137"/>
    <x v="34"/>
    <m/>
  </r>
  <r>
    <d v="2025-01-27T00:00:00"/>
    <x v="0"/>
    <n v="4271"/>
    <n v="628"/>
    <n v="868909"/>
    <n v="11.124410036033691"/>
    <n v="47051"/>
    <n v="4.1926139561219876E-3"/>
    <x v="138"/>
    <x v="34"/>
    <n v="5144"/>
  </r>
  <r>
    <d v="2025-02-03T00:00:00"/>
    <x v="2"/>
    <n v="4456"/>
    <n v="651"/>
    <n v="872714"/>
    <n v="9.5052903929580594"/>
    <n v="17736"/>
    <n v="4.3599621410908961E-3"/>
    <x v="139"/>
    <x v="35"/>
    <m/>
  </r>
  <r>
    <d v="2025-02-03T00:00:00"/>
    <x v="1"/>
    <n v="8788"/>
    <n v="660"/>
    <n v="880842"/>
    <n v="3.7175793161543158"/>
    <n v="17710"/>
    <n v="9.2275345635199051E-3"/>
    <x v="140"/>
    <x v="35"/>
    <m/>
  </r>
  <r>
    <d v="2025-02-03T00:00:00"/>
    <x v="2"/>
    <n v="9599"/>
    <n v="957"/>
    <n v="889484"/>
    <n v="8.768004820772493"/>
    <n v="11619"/>
    <n v="9.7157453085159485E-3"/>
    <x v="141"/>
    <x v="35"/>
    <m/>
  </r>
  <r>
    <d v="2025-02-03T00:00:00"/>
    <x v="1"/>
    <n v="8650"/>
    <n v="692"/>
    <n v="897442"/>
    <n v="7.6673478620345374"/>
    <n v="23975"/>
    <n v="8.8674254157928862E-3"/>
    <x v="142"/>
    <x v="35"/>
    <n v="6858.333333333333"/>
  </r>
  <r>
    <d v="2025-02-10T00:00:00"/>
    <x v="3"/>
    <n v="3711"/>
    <n v="291"/>
    <n v="900862"/>
    <n v="14.24879726306582"/>
    <n v="55603"/>
    <n v="3.7963639269943676E-3"/>
    <x v="143"/>
    <x v="36"/>
    <m/>
  </r>
  <r>
    <d v="2025-02-10T00:00:00"/>
    <x v="3"/>
    <n v="2668"/>
    <n v="143"/>
    <n v="903387"/>
    <n v="15.903372530266649"/>
    <n v="33252"/>
    <n v="2.795036900021807E-3"/>
    <x v="144"/>
    <x v="36"/>
    <m/>
  </r>
  <r>
    <d v="2025-02-10T00:00:00"/>
    <x v="1"/>
    <n v="1147"/>
    <n v="127"/>
    <n v="904407"/>
    <n v="1.3997016829812241"/>
    <n v="25261"/>
    <n v="1.1278108196862695E-3"/>
    <x v="145"/>
    <x v="36"/>
    <m/>
  </r>
  <r>
    <d v="2025-02-10T00:00:00"/>
    <x v="3"/>
    <n v="7420"/>
    <n v="743"/>
    <n v="911084"/>
    <n v="10.593534734448189"/>
    <n v="11431"/>
    <n v="7.3286327056561193E-3"/>
    <x v="146"/>
    <x v="36"/>
    <n v="2321.6666666666665"/>
  </r>
  <r>
    <d v="2025-02-17T00:00:00"/>
    <x v="1"/>
    <n v="1365"/>
    <n v="75"/>
    <n v="912374"/>
    <n v="9.2688963078737441"/>
    <n v="19067"/>
    <n v="1.4138938637006315E-3"/>
    <x v="147"/>
    <x v="37"/>
    <m/>
  </r>
  <r>
    <d v="2025-02-17T00:00:00"/>
    <x v="3"/>
    <n v="5531"/>
    <n v="430"/>
    <n v="917475"/>
    <n v="2.7289026948963189"/>
    <n v="47481"/>
    <n v="5.5598245183792472E-3"/>
    <x v="148"/>
    <x v="37"/>
    <m/>
  </r>
  <r>
    <d v="2025-02-17T00:00:00"/>
    <x v="0"/>
    <n v="6330"/>
    <n v="891"/>
    <n v="922914"/>
    <n v="14.789893749580139"/>
    <n v="37037"/>
    <n v="5.8932901657142486E-3"/>
    <x v="149"/>
    <x v="37"/>
    <m/>
  </r>
  <r>
    <d v="2025-02-17T00:00:00"/>
    <x v="0"/>
    <n v="6510"/>
    <n v="481"/>
    <n v="928943"/>
    <n v="2.3800168578696428"/>
    <n v="19557"/>
    <n v="6.4901721634158397E-3"/>
    <x v="150"/>
    <x v="37"/>
    <n v="4464.75"/>
  </r>
  <r>
    <d v="2025-02-24T00:00:00"/>
    <x v="0"/>
    <n v="9754"/>
    <n v="629"/>
    <n v="938068"/>
    <n v="3.4123325814333292"/>
    <n v="19435"/>
    <n v="9.7274398018054129E-3"/>
    <x v="151"/>
    <x v="38"/>
    <m/>
  </r>
  <r>
    <d v="2025-02-24T00:00:00"/>
    <x v="2"/>
    <n v="9964"/>
    <n v="985"/>
    <n v="947047"/>
    <n v="1.9837452629066989"/>
    <n v="47766"/>
    <n v="9.4810500429228957E-3"/>
    <x v="152"/>
    <x v="38"/>
    <m/>
  </r>
  <r>
    <d v="2025-02-24T00:00:00"/>
    <x v="2"/>
    <n v="7493"/>
    <n v="1113"/>
    <n v="953427"/>
    <n v="15.684892498324469"/>
    <n v="10162"/>
    <n v="6.6916502259743013E-3"/>
    <x v="153"/>
    <x v="38"/>
    <m/>
  </r>
  <r>
    <d v="2025-02-24T00:00:00"/>
    <x v="0"/>
    <n v="6439"/>
    <n v="477"/>
    <n v="959389"/>
    <n v="7.4744446725989153"/>
    <n v="44742"/>
    <n v="6.2143718554204808E-3"/>
    <x v="154"/>
    <x v="38"/>
    <n v="7107"/>
  </r>
  <r>
    <d v="2025-03-03T00:00:00"/>
    <x v="2"/>
    <n v="7511"/>
    <n v="880"/>
    <n v="966020"/>
    <n v="4.6083932009689246"/>
    <n v="29675"/>
    <n v="6.8642471170369144E-3"/>
    <x v="155"/>
    <x v="39"/>
    <m/>
  </r>
  <r>
    <d v="2025-03-03T00:00:00"/>
    <x v="3"/>
    <n v="8504"/>
    <n v="1072"/>
    <n v="973452"/>
    <n v="6.5651927367759271"/>
    <n v="18461"/>
    <n v="7.6346856342171983E-3"/>
    <x v="1"/>
    <x v="39"/>
    <m/>
  </r>
  <r>
    <d v="2025-03-03T00:00:00"/>
    <x v="1"/>
    <n v="2246"/>
    <n v="165"/>
    <n v="975533"/>
    <n v="2.9062061457685191"/>
    <n v="27015"/>
    <n v="2.1331928289458173E-3"/>
    <x v="156"/>
    <x v="39"/>
    <m/>
  </r>
  <r>
    <d v="2025-03-03T00:00:00"/>
    <x v="1"/>
    <n v="4839"/>
    <n v="594"/>
    <n v="979778"/>
    <n v="2.5803804535313102"/>
    <n v="42591"/>
    <n v="4.3326141227910814E-3"/>
    <x v="157"/>
    <x v="39"/>
    <n v="5381.333333333333"/>
  </r>
  <r>
    <d v="2025-03-10T00:00:00"/>
    <x v="1"/>
    <n v="9551"/>
    <n v="828"/>
    <n v="988501"/>
    <n v="1.525036393488727"/>
    <n v="38047"/>
    <n v="8.8244726105487E-3"/>
    <x v="158"/>
    <x v="40"/>
    <m/>
  </r>
  <r>
    <d v="2025-03-10T00:00:00"/>
    <x v="0"/>
    <n v="3376"/>
    <n v="382"/>
    <n v="991495"/>
    <n v="3.8694093263203548"/>
    <n v="44782"/>
    <n v="3.0196823988018094E-3"/>
    <x v="159"/>
    <x v="40"/>
    <m/>
  </r>
  <r>
    <d v="2025-03-10T00:00:00"/>
    <x v="2"/>
    <n v="4009"/>
    <n v="454"/>
    <n v="995050"/>
    <n v="2.1106477061454201"/>
    <n v="19833"/>
    <n v="3.5726847897090599E-3"/>
    <x v="160"/>
    <x v="40"/>
    <m/>
  </r>
  <r>
    <d v="2025-03-10T00:00:00"/>
    <x v="3"/>
    <n v="2827"/>
    <n v="292"/>
    <n v="997585"/>
    <n v="2.4004972007397871"/>
    <n v="17896"/>
    <n v="2.5411368454818384E-3"/>
    <x v="161"/>
    <x v="40"/>
    <n v="5090.666666666667"/>
  </r>
  <r>
    <d v="2025-03-17T00:00:00"/>
    <x v="3"/>
    <n v="7979"/>
    <n v="470"/>
    <n v="1005094"/>
    <n v="10.43086517280971"/>
    <n v="42972"/>
    <n v="7.4709430162750948E-3"/>
    <x v="162"/>
    <x v="41"/>
    <m/>
  </r>
  <r>
    <d v="2025-03-17T00:00:00"/>
    <x v="0"/>
    <n v="9569"/>
    <n v="1277"/>
    <n v="1013386"/>
    <n v="12.45517502708741"/>
    <n v="59733"/>
    <n v="8.1824694637581338E-3"/>
    <x v="163"/>
    <x v="41"/>
    <m/>
  </r>
  <r>
    <d v="2025-03-17T00:00:00"/>
    <x v="3"/>
    <n v="5285"/>
    <n v="433"/>
    <n v="1018238"/>
    <n v="8.7022876773406619"/>
    <n v="51800"/>
    <n v="4.7650942117658151E-3"/>
    <x v="164"/>
    <x v="41"/>
    <m/>
  </r>
  <r>
    <d v="2025-03-17T00:00:00"/>
    <x v="3"/>
    <n v="7910"/>
    <n v="543"/>
    <n v="1025605"/>
    <n v="6.0590578244060822"/>
    <n v="40508"/>
    <n v="7.183077305590359E-3"/>
    <x v="165"/>
    <x v="41"/>
    <n v="7005"/>
  </r>
  <r>
    <d v="2025-03-24T00:00:00"/>
    <x v="3"/>
    <n v="9561"/>
    <n v="517"/>
    <n v="1034649"/>
    <n v="6.4086467971263694"/>
    <n v="15347"/>
    <n v="8.741128633961856E-3"/>
    <x v="166"/>
    <x v="42"/>
    <m/>
  </r>
  <r>
    <d v="2025-03-24T00:00:00"/>
    <x v="3"/>
    <n v="3196"/>
    <n v="348"/>
    <n v="1037497"/>
    <n v="14.03040201562029"/>
    <n v="40314"/>
    <n v="2.7450681785103955E-3"/>
    <x v="167"/>
    <x v="42"/>
    <m/>
  </r>
  <r>
    <d v="2025-03-24T00:00:00"/>
    <x v="2"/>
    <n v="4747"/>
    <n v="558"/>
    <n v="1041686"/>
    <n v="5.7680529449373434"/>
    <n v="12643"/>
    <n v="4.021365363458854E-3"/>
    <x v="168"/>
    <x v="42"/>
    <m/>
  </r>
  <r>
    <d v="2025-03-24T00:00:00"/>
    <x v="3"/>
    <n v="9843"/>
    <n v="508"/>
    <n v="1051021"/>
    <n v="4.2080986012648651"/>
    <n v="50785"/>
    <n v="8.8818396587699005E-3"/>
    <x v="169"/>
    <x v="42"/>
    <n v="5457.333333333333"/>
  </r>
  <r>
    <d v="2025-03-31T00:00:00"/>
    <x v="1"/>
    <n v="6978"/>
    <n v="706"/>
    <n v="1057293"/>
    <n v="5.057443868445171"/>
    <n v="28681"/>
    <n v="5.9321304501212058E-3"/>
    <x v="170"/>
    <x v="43"/>
    <m/>
  </r>
  <r>
    <d v="2025-03-31T00:00:00"/>
    <x v="0"/>
    <n v="6607"/>
    <n v="479"/>
    <n v="1063421"/>
    <n v="5.5892257158735816"/>
    <n v="48328"/>
    <n v="5.7625343114345116E-3"/>
    <x v="171"/>
    <x v="43"/>
    <m/>
  </r>
  <r>
    <d v="2025-03-31T00:00:00"/>
    <x v="2"/>
    <n v="1769"/>
    <n v="202"/>
    <n v="1064988"/>
    <n v="6.5457075572682513"/>
    <n v="25892"/>
    <n v="1.4713780812553757E-3"/>
    <x v="172"/>
    <x v="43"/>
    <m/>
  </r>
  <r>
    <d v="2025-03-31T00:00:00"/>
    <x v="3"/>
    <n v="1780"/>
    <n v="120"/>
    <n v="1066648"/>
    <n v="13.86474263299608"/>
    <n v="57299"/>
    <n v="1.55627723485161E-3"/>
    <x v="173"/>
    <x v="43"/>
    <n v="4655.666666666667"/>
  </r>
  <r>
    <d v="2025-04-07T00:00:00"/>
    <x v="2"/>
    <n v="7303"/>
    <n v="869"/>
    <n v="1073082"/>
    <n v="8.1237966902808925"/>
    <n v="27073"/>
    <n v="5.9958139266151145E-3"/>
    <x v="174"/>
    <x v="44"/>
    <m/>
  </r>
  <r>
    <d v="2025-04-07T00:00:00"/>
    <x v="3"/>
    <n v="4983"/>
    <n v="441"/>
    <n v="1077624"/>
    <n v="6.8954477628560609"/>
    <n v="46768"/>
    <n v="4.2148281775461569E-3"/>
    <x v="175"/>
    <x v="44"/>
    <m/>
  </r>
  <r>
    <d v="2025-04-07T00:00:00"/>
    <x v="1"/>
    <n v="9714"/>
    <n v="1395"/>
    <n v="1085943"/>
    <n v="5.2243073531483697"/>
    <n v="40682"/>
    <n v="7.6606230713766746E-3"/>
    <x v="176"/>
    <x v="44"/>
    <m/>
  </r>
  <r>
    <d v="2025-04-07T00:00:00"/>
    <x v="0"/>
    <n v="1521"/>
    <n v="96"/>
    <n v="1087368"/>
    <n v="12.709772588488899"/>
    <n v="42262"/>
    <n v="1.3105038956452645E-3"/>
    <x v="177"/>
    <x v="44"/>
    <n v="6431.666666666667"/>
  </r>
  <r>
    <d v="2025-04-14T00:00:00"/>
    <x v="3"/>
    <n v="8569"/>
    <n v="720"/>
    <n v="1095217"/>
    <n v="9.589697749395782"/>
    <n v="41358"/>
    <n v="7.1666162961312686E-3"/>
    <x v="178"/>
    <x v="45"/>
    <m/>
  </r>
  <r>
    <d v="2025-04-14T00:00:00"/>
    <x v="3"/>
    <n v="6784"/>
    <n v="416"/>
    <n v="1101585"/>
    <n v="9.3041390360253633"/>
    <n v="24289"/>
    <n v="5.7807613574985131E-3"/>
    <x v="179"/>
    <x v="45"/>
    <m/>
  </r>
  <r>
    <d v="2025-04-14T00:00:00"/>
    <x v="3"/>
    <n v="5583"/>
    <n v="795"/>
    <n v="1106373"/>
    <n v="12.21550055903389"/>
    <n v="59823"/>
    <n v="4.327654416729259E-3"/>
    <x v="180"/>
    <x v="45"/>
    <m/>
  </r>
  <r>
    <d v="2025-04-14T00:00:00"/>
    <x v="3"/>
    <n v="6946"/>
    <n v="956"/>
    <n v="1112363"/>
    <n v="1.64146056637986"/>
    <n v="17927"/>
    <n v="5.3849327962185002E-3"/>
    <x v="181"/>
    <x v="45"/>
    <n v="6248.75"/>
  </r>
  <r>
    <d v="2025-04-21T00:00:00"/>
    <x v="0"/>
    <n v="5941"/>
    <n v="450"/>
    <n v="1117854"/>
    <n v="12.414411899944"/>
    <n v="58330"/>
    <n v="4.9120904876665469E-3"/>
    <x v="182"/>
    <x v="46"/>
    <m/>
  </r>
  <r>
    <d v="2025-04-21T00:00:00"/>
    <x v="0"/>
    <n v="7267"/>
    <n v="842"/>
    <n v="1124279"/>
    <n v="2.2102165031989389"/>
    <n v="11171"/>
    <n v="5.7147736460433753E-3"/>
    <x v="183"/>
    <x v="46"/>
    <m/>
  </r>
  <r>
    <d v="2025-04-21T00:00:00"/>
    <x v="1"/>
    <n v="8128"/>
    <n v="1070"/>
    <n v="1131337"/>
    <n v="8.1114645768679008"/>
    <n v="21918"/>
    <n v="6.2386362330587612E-3"/>
    <x v="184"/>
    <x v="46"/>
    <m/>
  </r>
  <r>
    <d v="2025-04-21T00:00:00"/>
    <x v="0"/>
    <n v="3461"/>
    <n v="365"/>
    <n v="1134433"/>
    <n v="10.23489267325616"/>
    <n v="51903"/>
    <n v="2.7291166600407427E-3"/>
    <x v="185"/>
    <x v="46"/>
    <n v="5526.333333333333"/>
  </r>
  <r>
    <d v="2025-04-28T00:00:00"/>
    <x v="3"/>
    <n v="1685"/>
    <n v="173"/>
    <n v="1135945"/>
    <n v="8.7776256772995165"/>
    <n v="49110"/>
    <n v="1.331050358952238E-3"/>
    <x v="186"/>
    <x v="47"/>
    <m/>
  </r>
  <r>
    <d v="2025-04-28T00:00:00"/>
    <x v="1"/>
    <n v="3160"/>
    <n v="234"/>
    <n v="1138871"/>
    <n v="5.6959041015180816"/>
    <n v="21929"/>
    <n v="2.5692110871204906E-3"/>
    <x v="187"/>
    <x v="47"/>
    <m/>
  </r>
  <r>
    <d v="2025-04-28T00:00:00"/>
    <x v="1"/>
    <n v="8031"/>
    <n v="476"/>
    <n v="1146426"/>
    <n v="11.940413075069831"/>
    <n v="12539"/>
    <n v="6.5900459340594159E-3"/>
    <x v="188"/>
    <x v="47"/>
    <m/>
  </r>
  <r>
    <d v="2025-04-28T00:00:00"/>
    <x v="1"/>
    <n v="6341"/>
    <n v="885"/>
    <n v="1151882"/>
    <n v="6.3457020771224837"/>
    <n v="46727"/>
    <n v="4.7365962832998515E-3"/>
    <x v="189"/>
    <x v="47"/>
    <n v="3997.6666666666665"/>
  </r>
  <r>
    <d v="2025-05-05T00:00:00"/>
    <x v="3"/>
    <n v="1038"/>
    <n v="145"/>
    <n v="1152775"/>
    <n v="11.093752033137431"/>
    <n v="55951"/>
    <n v="7.7465246904209403E-4"/>
    <x v="190"/>
    <x v="48"/>
    <m/>
  </r>
  <r>
    <d v="2025-05-05T00:00:00"/>
    <x v="2"/>
    <n v="5875"/>
    <n v="665"/>
    <n v="1157985"/>
    <n v="6.9871371390821126"/>
    <n v="32669"/>
    <n v="4.4991947218659999E-3"/>
    <x v="191"/>
    <x v="48"/>
    <m/>
  </r>
  <r>
    <d v="2025-05-05T00:00:00"/>
    <x v="3"/>
    <n v="2256"/>
    <n v="189"/>
    <n v="1160052"/>
    <n v="2.8935771844710412"/>
    <n v="15432"/>
    <n v="1.7818166771834366E-3"/>
    <x v="192"/>
    <x v="48"/>
    <m/>
  </r>
  <r>
    <d v="2025-05-05T00:00:00"/>
    <x v="0"/>
    <n v="8697"/>
    <n v="738"/>
    <n v="1168011"/>
    <n v="3.8777032065622672"/>
    <n v="30644"/>
    <n v="6.8141481544266276E-3"/>
    <x v="193"/>
    <x v="48"/>
    <n v="2723.3333333333335"/>
  </r>
  <r>
    <d v="2025-05-12T00:00:00"/>
    <x v="0"/>
    <n v="3196"/>
    <n v="391"/>
    <n v="1170816"/>
    <n v="7.2439221876024931"/>
    <n v="28745"/>
    <n v="2.3957650049196456E-3"/>
    <x v="194"/>
    <x v="49"/>
    <m/>
  </r>
  <r>
    <d v="2025-05-12T00:00:00"/>
    <x v="3"/>
    <n v="8165"/>
    <n v="1140"/>
    <n v="1177841"/>
    <n v="9.095964565675672"/>
    <n v="38228"/>
    <n v="5.9643024822535473E-3"/>
    <x v="195"/>
    <x v="49"/>
    <m/>
  </r>
  <r>
    <d v="2025-05-12T00:00:00"/>
    <x v="3"/>
    <n v="1301"/>
    <n v="180"/>
    <n v="1178962"/>
    <n v="5.2275645864752214"/>
    <n v="44521"/>
    <n v="9.5083641372665107E-4"/>
    <x v="196"/>
    <x v="49"/>
    <m/>
  </r>
  <r>
    <d v="2025-05-12T00:00:00"/>
    <x v="1"/>
    <n v="8527"/>
    <n v="1091"/>
    <n v="1186398"/>
    <n v="1.676081719625286"/>
    <n v="41703"/>
    <n v="6.267711172810473E-3"/>
    <x v="197"/>
    <x v="49"/>
    <n v="4596.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3F89C-F859-460E-A33D-AD3B35F6D9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0" firstHeaderRow="1" firstDataRow="2" firstDataCol="1"/>
  <pivotFields count="14">
    <pivotField numFmtId="164" showAll="0"/>
    <pivotField axis="axisCol" showAll="0">
      <items count="5">
        <item x="0"/>
        <item x="3"/>
        <item x="1"/>
        <item x="2"/>
        <item t="default"/>
      </items>
    </pivotField>
    <pivotField numFmtId="1" showAll="0"/>
    <pivotField numFmtId="1" showAll="0"/>
    <pivotField numFmtId="1" showAll="0"/>
    <pivotField numFmtId="10" showAll="0"/>
    <pivotField numFmtId="165" showAll="0"/>
    <pivotField numFmtId="2" showAll="0"/>
    <pivotField dataField="1" numFmtId="1" showAll="0">
      <items count="199">
        <item x="190"/>
        <item x="110"/>
        <item x="130"/>
        <item x="91"/>
        <item x="145"/>
        <item x="196"/>
        <item x="112"/>
        <item x="147"/>
        <item x="64"/>
        <item x="115"/>
        <item x="103"/>
        <item x="27"/>
        <item x="177"/>
        <item x="90"/>
        <item x="186"/>
        <item x="48"/>
        <item x="126"/>
        <item x="70"/>
        <item x="172"/>
        <item x="173"/>
        <item x="32"/>
        <item x="26"/>
        <item x="53"/>
        <item x="21"/>
        <item x="192"/>
        <item x="156"/>
        <item x="62"/>
        <item x="61"/>
        <item x="72"/>
        <item x="58"/>
        <item x="144"/>
        <item x="161"/>
        <item x="38"/>
        <item x="19"/>
        <item x="194"/>
        <item x="71"/>
        <item x="167"/>
        <item x="128"/>
        <item x="187"/>
        <item x="159"/>
        <item x="78"/>
        <item x="89"/>
        <item x="122"/>
        <item x="185"/>
        <item x="97"/>
        <item x="18"/>
        <item x="36"/>
        <item x="23"/>
        <item x="143"/>
        <item x="7"/>
        <item x="34"/>
        <item x="108"/>
        <item x="37"/>
        <item x="160"/>
        <item x="24"/>
        <item x="111"/>
        <item x="138"/>
        <item x="0"/>
        <item x="139"/>
        <item x="63"/>
        <item x="106"/>
        <item x="66"/>
        <item x="74"/>
        <item x="168"/>
        <item x="120"/>
        <item x="133"/>
        <item x="157"/>
        <item x="116"/>
        <item x="47"/>
        <item x="175"/>
        <item x="180"/>
        <item x="109"/>
        <item x="75"/>
        <item x="39"/>
        <item x="164"/>
        <item x="93"/>
        <item x="13"/>
        <item x="6"/>
        <item x="65"/>
        <item x="45"/>
        <item x="148"/>
        <item x="102"/>
        <item x="95"/>
        <item x="191"/>
        <item x="94"/>
        <item x="51"/>
        <item x="104"/>
        <item x="137"/>
        <item x="149"/>
        <item x="16"/>
        <item x="189"/>
        <item x="79"/>
        <item x="182"/>
        <item x="52"/>
        <item x="11"/>
        <item x="69"/>
        <item x="49"/>
        <item x="40"/>
        <item x="33"/>
        <item x="154"/>
        <item x="181"/>
        <item x="85"/>
        <item x="150"/>
        <item x="35"/>
        <item x="100"/>
        <item x="9"/>
        <item x="59"/>
        <item x="171"/>
        <item x="117"/>
        <item x="73"/>
        <item x="22"/>
        <item x="170"/>
        <item x="114"/>
        <item x="136"/>
        <item x="179"/>
        <item x="153"/>
        <item x="96"/>
        <item x="183"/>
        <item x="15"/>
        <item x="174"/>
        <item x="84"/>
        <item x="86"/>
        <item x="98"/>
        <item x="54"/>
        <item x="155"/>
        <item x="107"/>
        <item x="146"/>
        <item x="10"/>
        <item x="41"/>
        <item x="46"/>
        <item x="81"/>
        <item x="44"/>
        <item x="43"/>
        <item x="195"/>
        <item x="42"/>
        <item x="184"/>
        <item x="25"/>
        <item x="77"/>
        <item x="20"/>
        <item x="4"/>
        <item x="88"/>
        <item x="60"/>
        <item x="135"/>
        <item x="118"/>
        <item x="129"/>
        <item x="165"/>
        <item x="132"/>
        <item x="28"/>
        <item x="1"/>
        <item x="197"/>
        <item x="56"/>
        <item x="8"/>
        <item x="127"/>
        <item x="5"/>
        <item x="162"/>
        <item x="188"/>
        <item x="80"/>
        <item x="105"/>
        <item x="134"/>
        <item x="124"/>
        <item x="67"/>
        <item x="29"/>
        <item x="76"/>
        <item x="178"/>
        <item x="3"/>
        <item x="82"/>
        <item x="142"/>
        <item x="193"/>
        <item x="30"/>
        <item x="2"/>
        <item x="140"/>
        <item x="119"/>
        <item x="55"/>
        <item x="50"/>
        <item x="163"/>
        <item x="176"/>
        <item x="87"/>
        <item x="68"/>
        <item x="121"/>
        <item x="17"/>
        <item x="99"/>
        <item x="83"/>
        <item x="131"/>
        <item x="113"/>
        <item x="125"/>
        <item x="92"/>
        <item x="141"/>
        <item x="14"/>
        <item x="12"/>
        <item x="158"/>
        <item x="101"/>
        <item x="152"/>
        <item x="166"/>
        <item x="31"/>
        <item x="57"/>
        <item x="151"/>
        <item x="123"/>
        <item x="169"/>
        <item t="default"/>
      </items>
    </pivotField>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15">
        <item h="1" sd="0" x="0"/>
        <item h="1" sd="0" x="1"/>
        <item h="1" sd="0" x="2"/>
        <item h="1" sd="0" x="3"/>
        <item h="1" sd="0" x="4"/>
        <item h="1" sd="0" x="5"/>
        <item h="1"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6">
    <i>
      <x v="4"/>
    </i>
    <i>
      <x v="5"/>
    </i>
    <i>
      <x v="6"/>
    </i>
    <i>
      <x v="7"/>
    </i>
    <i>
      <x v="8"/>
    </i>
    <i t="grand">
      <x/>
    </i>
  </rowItems>
  <colFields count="1">
    <field x="1"/>
  </colFields>
  <colItems count="5">
    <i>
      <x/>
    </i>
    <i>
      <x v="1"/>
    </i>
    <i>
      <x v="2"/>
    </i>
    <i>
      <x v="3"/>
    </i>
    <i t="grand">
      <x/>
    </i>
  </colItems>
  <dataFields count="1">
    <dataField name="Sum of Follwer Growth" fld="8" baseField="0" baseItem="0" numFmtId="1"/>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Week_Start_Date2" xr10:uid="{85F9952D-C6D7-4573-868E-C120A8219694}" sourceName="Months (Week_Start_Date2)">
  <pivotTables>
    <pivotTable tabId="3" name="PivotTable2"/>
  </pivotTables>
  <data>
    <tabular pivotCacheId="2119647495">
      <items count="14">
        <i x="1"/>
        <i x="2"/>
        <i x="3"/>
        <i x="4"/>
        <i x="5"/>
        <i x="6"/>
        <i x="7" s="1"/>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Week_Start_Date2)" xr10:uid="{85F30F99-67C9-465D-BC0F-64E68AF2F1DC}" cache="Slicer_Months__Week_Start_Date2" caption="Months (Week_Start_Date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FBD0C-DCBC-40F6-BED9-8EB40D16BF88}">
  <dimension ref="A3:F10"/>
  <sheetViews>
    <sheetView tabSelected="1" workbookViewId="0">
      <selection activeCell="Q24" sqref="Q24"/>
    </sheetView>
  </sheetViews>
  <sheetFormatPr defaultRowHeight="14.4" x14ac:dyDescent="0.3"/>
  <cols>
    <col min="1" max="1" width="19.6640625" bestFit="1" customWidth="1"/>
    <col min="2" max="2" width="15.5546875" bestFit="1" customWidth="1"/>
    <col min="3" max="3" width="9" bestFit="1" customWidth="1"/>
    <col min="4" max="4" width="8" bestFit="1" customWidth="1"/>
    <col min="5" max="5" width="8.77734375" bestFit="1" customWidth="1"/>
    <col min="6" max="6" width="10.5546875" bestFit="1" customWidth="1"/>
    <col min="7" max="199" width="7.21875" bestFit="1" customWidth="1"/>
    <col min="200" max="200" width="10.5546875" bestFit="1" customWidth="1"/>
  </cols>
  <sheetData>
    <row r="3" spans="1:6" x14ac:dyDescent="0.3">
      <c r="A3" s="21" t="s">
        <v>17</v>
      </c>
      <c r="B3" s="21" t="s">
        <v>16</v>
      </c>
    </row>
    <row r="4" spans="1:6" x14ac:dyDescent="0.3">
      <c r="A4" s="21" t="s">
        <v>14</v>
      </c>
      <c r="B4" t="s">
        <v>7</v>
      </c>
      <c r="C4" t="s">
        <v>10</v>
      </c>
      <c r="D4" t="s">
        <v>8</v>
      </c>
      <c r="E4" t="s">
        <v>9</v>
      </c>
      <c r="F4" t="s">
        <v>15</v>
      </c>
    </row>
    <row r="5" spans="1:6" x14ac:dyDescent="0.3">
      <c r="A5" s="22">
        <v>45474</v>
      </c>
      <c r="B5" s="14">
        <v>5928</v>
      </c>
      <c r="C5" s="14">
        <v>5442</v>
      </c>
      <c r="D5" s="14">
        <v>8463</v>
      </c>
      <c r="E5" s="14"/>
      <c r="F5" s="14">
        <v>19833</v>
      </c>
    </row>
    <row r="6" spans="1:6" x14ac:dyDescent="0.3">
      <c r="A6" s="22">
        <v>45481</v>
      </c>
      <c r="B6" s="14"/>
      <c r="C6" s="14">
        <v>11378</v>
      </c>
      <c r="D6" s="14">
        <v>7151</v>
      </c>
      <c r="E6" s="14"/>
      <c r="F6" s="14">
        <v>18529</v>
      </c>
    </row>
    <row r="7" spans="1:6" x14ac:dyDescent="0.3">
      <c r="A7" s="22">
        <v>45488</v>
      </c>
      <c r="B7" s="14">
        <v>4967</v>
      </c>
      <c r="C7" s="14"/>
      <c r="D7" s="14">
        <v>7092</v>
      </c>
      <c r="E7" s="14">
        <v>1826</v>
      </c>
      <c r="F7" s="14">
        <v>13885</v>
      </c>
    </row>
    <row r="8" spans="1:6" x14ac:dyDescent="0.3">
      <c r="A8" s="22">
        <v>45495</v>
      </c>
      <c r="B8" s="14"/>
      <c r="C8" s="14">
        <v>15403</v>
      </c>
      <c r="D8" s="14">
        <v>7733</v>
      </c>
      <c r="E8" s="14">
        <v>9082</v>
      </c>
      <c r="F8" s="14">
        <v>32218</v>
      </c>
    </row>
    <row r="9" spans="1:6" x14ac:dyDescent="0.3">
      <c r="A9" s="22">
        <v>45502</v>
      </c>
      <c r="B9" s="14"/>
      <c r="C9" s="14">
        <v>7537</v>
      </c>
      <c r="D9" s="14">
        <v>6039</v>
      </c>
      <c r="E9" s="14">
        <v>3445</v>
      </c>
      <c r="F9" s="14">
        <v>17021</v>
      </c>
    </row>
    <row r="10" spans="1:6" x14ac:dyDescent="0.3">
      <c r="A10" s="22" t="s">
        <v>15</v>
      </c>
      <c r="B10" s="14">
        <v>10895</v>
      </c>
      <c r="C10" s="14">
        <v>39760</v>
      </c>
      <c r="D10" s="14">
        <v>36478</v>
      </c>
      <c r="E10" s="14">
        <v>14353</v>
      </c>
      <c r="F10" s="14">
        <v>101486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74EF-3B3D-44AE-B9A7-9B0054BD8EE3}">
  <dimension ref="A1:L201"/>
  <sheetViews>
    <sheetView topLeftCell="F1" workbookViewId="0">
      <selection activeCell="I3" sqref="I3"/>
    </sheetView>
  </sheetViews>
  <sheetFormatPr defaultRowHeight="14.4" x14ac:dyDescent="0.3"/>
  <cols>
    <col min="1" max="1" width="20.21875" style="12" customWidth="1"/>
    <col min="2" max="2" width="15.77734375" style="13" customWidth="1"/>
    <col min="3" max="3" width="17.33203125" style="14" customWidth="1"/>
    <col min="4" max="4" width="15.109375" style="14" customWidth="1"/>
    <col min="5" max="5" width="16.44140625" style="14" customWidth="1"/>
    <col min="6" max="6" width="26.44140625" style="15" customWidth="1"/>
    <col min="7" max="7" width="22.44140625" style="16" customWidth="1"/>
    <col min="8" max="8" width="12.44140625" style="20" customWidth="1"/>
    <col min="9" max="9" width="14.77734375" style="20" customWidth="1"/>
    <col min="10" max="10" width="20.21875" style="12" customWidth="1"/>
    <col min="11" max="11" width="15.5546875" customWidth="1"/>
    <col min="12" max="12" width="12.109375" customWidth="1"/>
  </cols>
  <sheetData>
    <row r="1" spans="1:12" x14ac:dyDescent="0.3">
      <c r="A1" s="1" t="s">
        <v>0</v>
      </c>
      <c r="B1" s="2" t="s">
        <v>1</v>
      </c>
      <c r="C1" s="3" t="s">
        <v>2</v>
      </c>
      <c r="D1" s="3" t="s">
        <v>3</v>
      </c>
      <c r="E1" s="3" t="s">
        <v>4</v>
      </c>
      <c r="F1" s="4" t="s">
        <v>5</v>
      </c>
      <c r="G1" s="5" t="s">
        <v>6</v>
      </c>
      <c r="H1" s="19" t="s">
        <v>11</v>
      </c>
      <c r="I1" s="19" t="s">
        <v>13</v>
      </c>
      <c r="J1" s="18" t="s">
        <v>0</v>
      </c>
      <c r="K1" s="17" t="s">
        <v>12</v>
      </c>
    </row>
    <row r="2" spans="1:12" x14ac:dyDescent="0.3">
      <c r="A2" s="6">
        <v>45446</v>
      </c>
      <c r="B2" s="7" t="s">
        <v>7</v>
      </c>
      <c r="C2" s="8">
        <v>4138</v>
      </c>
      <c r="D2" s="8">
        <v>361</v>
      </c>
      <c r="E2" s="8">
        <v>103777</v>
      </c>
      <c r="F2" s="9">
        <v>56.637790647253247</v>
      </c>
      <c r="G2" s="10">
        <v>23944</v>
      </c>
      <c r="H2" s="20">
        <f>(I2)/(E2)</f>
        <v>3.6395347716738774E-2</v>
      </c>
      <c r="I2" s="14">
        <f>(C2)-(D2)</f>
        <v>3777</v>
      </c>
      <c r="J2" s="6">
        <v>45446</v>
      </c>
      <c r="K2" s="14"/>
    </row>
    <row r="3" spans="1:12" x14ac:dyDescent="0.3">
      <c r="A3" s="6">
        <v>45446</v>
      </c>
      <c r="B3" s="11" t="s">
        <v>8</v>
      </c>
      <c r="C3" s="8">
        <v>8693</v>
      </c>
      <c r="D3" s="8">
        <v>1261</v>
      </c>
      <c r="E3" s="8">
        <v>111209</v>
      </c>
      <c r="F3" s="9">
        <v>69.475492091467416</v>
      </c>
      <c r="G3" s="10">
        <v>29873</v>
      </c>
      <c r="H3" s="20">
        <f t="shared" ref="H3:H66" si="0">(I3)/(E3)</f>
        <v>6.6829123542159363E-2</v>
      </c>
      <c r="I3" s="14">
        <f t="shared" ref="I3:I66" si="1">(C3)-(D3)</f>
        <v>7432</v>
      </c>
      <c r="J3" s="6">
        <v>45446</v>
      </c>
    </row>
    <row r="4" spans="1:12" x14ac:dyDescent="0.3">
      <c r="A4" s="6">
        <v>45446</v>
      </c>
      <c r="B4" s="11" t="s">
        <v>9</v>
      </c>
      <c r="C4" s="8">
        <v>9264</v>
      </c>
      <c r="D4" s="8">
        <v>1141</v>
      </c>
      <c r="E4" s="8">
        <v>119332</v>
      </c>
      <c r="F4" s="9">
        <v>92.312204605638044</v>
      </c>
      <c r="G4" s="10">
        <v>50372</v>
      </c>
      <c r="H4" s="20">
        <f t="shared" si="0"/>
        <v>6.8070592967519189E-2</v>
      </c>
      <c r="I4" s="14">
        <f t="shared" si="1"/>
        <v>8123</v>
      </c>
      <c r="J4" s="6">
        <v>45446</v>
      </c>
    </row>
    <row r="5" spans="1:12" x14ac:dyDescent="0.3">
      <c r="A5" s="6">
        <v>45446</v>
      </c>
      <c r="B5" s="11" t="s">
        <v>9</v>
      </c>
      <c r="C5" s="8">
        <v>8842</v>
      </c>
      <c r="D5" s="8">
        <v>971</v>
      </c>
      <c r="E5" s="8">
        <v>127203</v>
      </c>
      <c r="F5" s="9">
        <v>16.351815601833291</v>
      </c>
      <c r="G5" s="10">
        <v>33928</v>
      </c>
      <c r="H5" s="20">
        <f t="shared" si="0"/>
        <v>6.1877471443283573E-2</v>
      </c>
      <c r="I5" s="14">
        <f t="shared" si="1"/>
        <v>7871</v>
      </c>
      <c r="J5" s="6">
        <v>45446</v>
      </c>
      <c r="K5" s="14">
        <f>AVERAGE(I2:I4)</f>
        <v>6444</v>
      </c>
    </row>
    <row r="6" spans="1:12" x14ac:dyDescent="0.3">
      <c r="A6" s="6">
        <v>45453</v>
      </c>
      <c r="B6" s="11" t="s">
        <v>7</v>
      </c>
      <c r="C6" s="8">
        <v>7721</v>
      </c>
      <c r="D6" s="8">
        <v>506</v>
      </c>
      <c r="E6" s="8">
        <v>134418</v>
      </c>
      <c r="F6" s="9">
        <v>35.577824398518047</v>
      </c>
      <c r="G6" s="10">
        <v>25379</v>
      </c>
      <c r="H6" s="20">
        <f t="shared" si="0"/>
        <v>5.3675846984778827E-2</v>
      </c>
      <c r="I6" s="14">
        <f t="shared" si="1"/>
        <v>7215</v>
      </c>
      <c r="J6" s="6">
        <v>45453</v>
      </c>
      <c r="K6" s="14"/>
    </row>
    <row r="7" spans="1:12" x14ac:dyDescent="0.3">
      <c r="A7" s="6">
        <v>45453</v>
      </c>
      <c r="B7" s="11" t="s">
        <v>9</v>
      </c>
      <c r="C7" s="8">
        <v>8002</v>
      </c>
      <c r="D7" s="8">
        <v>524</v>
      </c>
      <c r="E7" s="8">
        <v>141896</v>
      </c>
      <c r="F7" s="9">
        <v>52.064892597395271</v>
      </c>
      <c r="G7" s="10">
        <v>46751</v>
      </c>
      <c r="H7" s="20">
        <f t="shared" si="0"/>
        <v>5.270056943113266E-2</v>
      </c>
      <c r="I7" s="14">
        <f t="shared" si="1"/>
        <v>7478</v>
      </c>
      <c r="J7" s="6">
        <v>45453</v>
      </c>
      <c r="K7" s="14"/>
    </row>
    <row r="8" spans="1:12" x14ac:dyDescent="0.3">
      <c r="A8" s="6">
        <v>45453</v>
      </c>
      <c r="B8" s="11" t="s">
        <v>8</v>
      </c>
      <c r="C8" s="8">
        <v>5225</v>
      </c>
      <c r="D8" s="8">
        <v>291</v>
      </c>
      <c r="E8" s="8">
        <v>146830</v>
      </c>
      <c r="F8" s="9">
        <v>19.551862698358651</v>
      </c>
      <c r="G8" s="10">
        <v>44546</v>
      </c>
      <c r="H8" s="20">
        <f t="shared" si="0"/>
        <v>3.3603487025812166E-2</v>
      </c>
      <c r="I8" s="14">
        <f t="shared" si="1"/>
        <v>4934</v>
      </c>
      <c r="J8" s="6">
        <v>45453</v>
      </c>
      <c r="K8" s="14"/>
    </row>
    <row r="9" spans="1:12" x14ac:dyDescent="0.3">
      <c r="A9" s="6">
        <v>45453</v>
      </c>
      <c r="B9" s="11" t="s">
        <v>8</v>
      </c>
      <c r="C9" s="8">
        <v>3978</v>
      </c>
      <c r="D9" s="8">
        <v>543</v>
      </c>
      <c r="E9" s="8">
        <v>150265</v>
      </c>
      <c r="F9" s="9">
        <v>49.159817655475329</v>
      </c>
      <c r="G9" s="10">
        <v>34286</v>
      </c>
      <c r="H9" s="20">
        <f t="shared" si="0"/>
        <v>2.2859614680730708E-2</v>
      </c>
      <c r="I9" s="14">
        <f t="shared" si="1"/>
        <v>3435</v>
      </c>
      <c r="J9" s="6">
        <v>45453</v>
      </c>
      <c r="K9" s="14">
        <f>AVERAGE(I6:I9)</f>
        <v>5765.5</v>
      </c>
      <c r="L9" s="12"/>
    </row>
    <row r="10" spans="1:12" x14ac:dyDescent="0.3">
      <c r="A10" s="6">
        <v>45460</v>
      </c>
      <c r="B10" s="11" t="s">
        <v>7</v>
      </c>
      <c r="C10" s="8">
        <v>8373</v>
      </c>
      <c r="D10" s="8">
        <v>921</v>
      </c>
      <c r="E10" s="8">
        <v>157717</v>
      </c>
      <c r="F10" s="9">
        <v>12.2263294381709</v>
      </c>
      <c r="G10" s="10">
        <v>15110</v>
      </c>
      <c r="H10" s="20">
        <f t="shared" si="0"/>
        <v>4.7249186834646864E-2</v>
      </c>
      <c r="I10" s="14">
        <f t="shared" si="1"/>
        <v>7452</v>
      </c>
      <c r="J10" s="6">
        <v>45460</v>
      </c>
      <c r="K10" s="14"/>
    </row>
    <row r="11" spans="1:12" x14ac:dyDescent="0.3">
      <c r="A11" s="6">
        <v>45460</v>
      </c>
      <c r="B11" s="11" t="s">
        <v>8</v>
      </c>
      <c r="C11" s="8">
        <v>6907</v>
      </c>
      <c r="D11" s="8">
        <v>834</v>
      </c>
      <c r="E11" s="8">
        <v>163790</v>
      </c>
      <c r="F11" s="9">
        <v>54.158984064961238</v>
      </c>
      <c r="G11" s="10">
        <v>22087</v>
      </c>
      <c r="H11" s="20">
        <f t="shared" si="0"/>
        <v>3.7077965687770928E-2</v>
      </c>
      <c r="I11" s="14">
        <f t="shared" si="1"/>
        <v>6073</v>
      </c>
      <c r="J11" s="6">
        <v>45460</v>
      </c>
      <c r="K11" s="14"/>
    </row>
    <row r="12" spans="1:12" x14ac:dyDescent="0.3">
      <c r="A12" s="6">
        <v>45460</v>
      </c>
      <c r="B12" s="11" t="s">
        <v>10</v>
      </c>
      <c r="C12" s="8">
        <v>7097</v>
      </c>
      <c r="D12" s="8">
        <v>369</v>
      </c>
      <c r="E12" s="8">
        <v>170518</v>
      </c>
      <c r="F12" s="9">
        <v>9.2506362964613711</v>
      </c>
      <c r="G12" s="10">
        <v>33762</v>
      </c>
      <c r="H12" s="20">
        <f t="shared" si="0"/>
        <v>3.9456245088495059E-2</v>
      </c>
      <c r="I12" s="14">
        <f t="shared" si="1"/>
        <v>6728</v>
      </c>
      <c r="J12" s="6">
        <v>45460</v>
      </c>
    </row>
    <row r="13" spans="1:12" x14ac:dyDescent="0.3">
      <c r="A13" s="6">
        <v>45460</v>
      </c>
      <c r="B13" s="11" t="s">
        <v>7</v>
      </c>
      <c r="C13" s="8">
        <v>6656</v>
      </c>
      <c r="D13" s="8">
        <v>978</v>
      </c>
      <c r="E13" s="8">
        <v>176196</v>
      </c>
      <c r="F13" s="9">
        <v>60.425889350496043</v>
      </c>
      <c r="G13" s="10">
        <v>27081</v>
      </c>
      <c r="H13" s="20">
        <f t="shared" si="0"/>
        <v>3.2225476174260484E-2</v>
      </c>
      <c r="I13" s="14">
        <f t="shared" si="1"/>
        <v>5678</v>
      </c>
      <c r="J13" s="6">
        <v>45460</v>
      </c>
      <c r="K13" s="14">
        <f>AVERAGE(I11:I13)</f>
        <v>6159.666666666667</v>
      </c>
    </row>
    <row r="14" spans="1:12" x14ac:dyDescent="0.3">
      <c r="A14" s="6">
        <v>45467</v>
      </c>
      <c r="B14" s="11" t="s">
        <v>8</v>
      </c>
      <c r="C14" s="8">
        <v>9984</v>
      </c>
      <c r="D14" s="8">
        <v>1330</v>
      </c>
      <c r="E14" s="8">
        <v>184850</v>
      </c>
      <c r="F14" s="9">
        <v>57.524479307546663</v>
      </c>
      <c r="G14" s="10">
        <v>44947</v>
      </c>
      <c r="H14" s="20">
        <f t="shared" si="0"/>
        <v>4.6816337571003515E-2</v>
      </c>
      <c r="I14" s="14">
        <f t="shared" si="1"/>
        <v>8654</v>
      </c>
      <c r="J14" s="6">
        <v>45467</v>
      </c>
      <c r="K14" s="14"/>
    </row>
    <row r="15" spans="1:12" x14ac:dyDescent="0.3">
      <c r="A15" s="6">
        <v>45467</v>
      </c>
      <c r="B15" s="11" t="s">
        <v>7</v>
      </c>
      <c r="C15" s="8">
        <v>5259</v>
      </c>
      <c r="D15" s="8">
        <v>374</v>
      </c>
      <c r="E15" s="8">
        <v>189735</v>
      </c>
      <c r="F15" s="9">
        <v>14.827522597306769</v>
      </c>
      <c r="G15" s="10">
        <v>19596</v>
      </c>
      <c r="H15" s="20">
        <f t="shared" si="0"/>
        <v>2.5746435818378266E-2</v>
      </c>
      <c r="I15" s="14">
        <f t="shared" si="1"/>
        <v>4885</v>
      </c>
      <c r="J15" s="6">
        <v>45467</v>
      </c>
      <c r="K15" s="14"/>
    </row>
    <row r="16" spans="1:12" x14ac:dyDescent="0.3">
      <c r="A16" s="6">
        <v>45467</v>
      </c>
      <c r="B16" s="11" t="s">
        <v>9</v>
      </c>
      <c r="C16" s="8">
        <v>9286</v>
      </c>
      <c r="D16" s="8">
        <v>633</v>
      </c>
      <c r="E16" s="8">
        <v>198388</v>
      </c>
      <c r="F16" s="9">
        <v>5.4343004617214756</v>
      </c>
      <c r="G16" s="10">
        <v>48019</v>
      </c>
      <c r="H16" s="20">
        <f t="shared" si="0"/>
        <v>4.3616549388067825E-2</v>
      </c>
      <c r="I16" s="14">
        <f t="shared" si="1"/>
        <v>8653</v>
      </c>
      <c r="J16" s="6">
        <v>45467</v>
      </c>
      <c r="K16" s="14"/>
    </row>
    <row r="17" spans="1:11" x14ac:dyDescent="0.3">
      <c r="A17" s="6">
        <v>45467</v>
      </c>
      <c r="B17" s="11" t="s">
        <v>8</v>
      </c>
      <c r="C17" s="8">
        <v>6901</v>
      </c>
      <c r="D17" s="8">
        <v>471</v>
      </c>
      <c r="E17" s="8">
        <v>204818</v>
      </c>
      <c r="F17" s="9">
        <v>60.827661631301943</v>
      </c>
      <c r="G17" s="10">
        <v>52003</v>
      </c>
      <c r="H17" s="20">
        <f t="shared" si="0"/>
        <v>3.1393725160874533E-2</v>
      </c>
      <c r="I17" s="14">
        <f t="shared" si="1"/>
        <v>6430</v>
      </c>
      <c r="J17" s="6">
        <v>45467</v>
      </c>
      <c r="K17" s="14">
        <f>AVERAGE(I14:I16)</f>
        <v>7397.333333333333</v>
      </c>
    </row>
    <row r="18" spans="1:11" x14ac:dyDescent="0.3">
      <c r="A18" s="6">
        <v>45474</v>
      </c>
      <c r="B18" s="11" t="s">
        <v>10</v>
      </c>
      <c r="C18" s="8">
        <v>5917</v>
      </c>
      <c r="D18" s="8">
        <v>475</v>
      </c>
      <c r="E18" s="8">
        <v>210260</v>
      </c>
      <c r="F18" s="9">
        <v>17.894035955483691</v>
      </c>
      <c r="G18" s="10">
        <v>28313</v>
      </c>
      <c r="H18" s="20">
        <f t="shared" si="0"/>
        <v>2.5882241034909159E-2</v>
      </c>
      <c r="I18" s="14">
        <f t="shared" si="1"/>
        <v>5442</v>
      </c>
      <c r="J18" s="6">
        <v>45474</v>
      </c>
      <c r="K18" s="14"/>
    </row>
    <row r="19" spans="1:11" x14ac:dyDescent="0.3">
      <c r="A19" s="6">
        <v>45474</v>
      </c>
      <c r="B19" s="11" t="s">
        <v>8</v>
      </c>
      <c r="C19" s="8">
        <v>9429</v>
      </c>
      <c r="D19" s="8">
        <v>966</v>
      </c>
      <c r="E19" s="8">
        <v>218723</v>
      </c>
      <c r="F19" s="9">
        <v>7.6914636320825887</v>
      </c>
      <c r="G19" s="10">
        <v>57639</v>
      </c>
      <c r="H19" s="20">
        <f t="shared" si="0"/>
        <v>3.8692775794040866E-2</v>
      </c>
      <c r="I19" s="14">
        <f t="shared" si="1"/>
        <v>8463</v>
      </c>
      <c r="J19" s="6">
        <v>45474</v>
      </c>
    </row>
    <row r="20" spans="1:11" x14ac:dyDescent="0.3">
      <c r="A20" s="6">
        <v>45474</v>
      </c>
      <c r="B20" s="11" t="s">
        <v>7</v>
      </c>
      <c r="C20" s="8">
        <v>3530</v>
      </c>
      <c r="D20" s="8">
        <v>328</v>
      </c>
      <c r="E20" s="8">
        <v>221925</v>
      </c>
      <c r="F20" s="9">
        <v>12.8372197814577</v>
      </c>
      <c r="G20" s="10">
        <v>11013</v>
      </c>
      <c r="H20" s="20">
        <f t="shared" si="0"/>
        <v>1.4428297848372199E-2</v>
      </c>
      <c r="I20" s="14">
        <f t="shared" si="1"/>
        <v>3202</v>
      </c>
      <c r="J20" s="6">
        <v>45474</v>
      </c>
    </row>
    <row r="21" spans="1:11" x14ac:dyDescent="0.3">
      <c r="A21" s="6">
        <v>45474</v>
      </c>
      <c r="B21" s="11" t="s">
        <v>7</v>
      </c>
      <c r="C21" s="8">
        <v>2960</v>
      </c>
      <c r="D21" s="8">
        <v>234</v>
      </c>
      <c r="E21" s="8">
        <v>224651</v>
      </c>
      <c r="F21" s="9">
        <v>17.41278694508371</v>
      </c>
      <c r="G21" s="10">
        <v>59378</v>
      </c>
      <c r="H21" s="20">
        <f t="shared" si="0"/>
        <v>1.213437732304775E-2</v>
      </c>
      <c r="I21" s="14">
        <f t="shared" si="1"/>
        <v>2726</v>
      </c>
      <c r="J21" s="6">
        <v>45474</v>
      </c>
      <c r="K21" s="14">
        <f t="shared" ref="K21" si="2">AVERAGE(I18:I20)</f>
        <v>5702.333333333333</v>
      </c>
    </row>
    <row r="22" spans="1:11" x14ac:dyDescent="0.3">
      <c r="A22" s="6">
        <v>45481</v>
      </c>
      <c r="B22" s="11" t="s">
        <v>8</v>
      </c>
      <c r="C22" s="8">
        <v>8045</v>
      </c>
      <c r="D22" s="8">
        <v>894</v>
      </c>
      <c r="E22" s="8">
        <v>231802</v>
      </c>
      <c r="F22" s="9">
        <v>47.634187798207087</v>
      </c>
      <c r="G22" s="10">
        <v>33705</v>
      </c>
      <c r="H22" s="20">
        <f t="shared" si="0"/>
        <v>3.084960440375838E-2</v>
      </c>
      <c r="I22" s="14">
        <f t="shared" si="1"/>
        <v>7151</v>
      </c>
      <c r="J22" s="6">
        <v>45481</v>
      </c>
      <c r="K22" s="14"/>
    </row>
    <row r="23" spans="1:11" x14ac:dyDescent="0.3">
      <c r="A23" s="6">
        <v>45481</v>
      </c>
      <c r="B23" s="11" t="s">
        <v>10</v>
      </c>
      <c r="C23" s="8">
        <v>2048</v>
      </c>
      <c r="D23" s="8">
        <v>130</v>
      </c>
      <c r="E23" s="8">
        <v>233720</v>
      </c>
      <c r="F23" s="9">
        <v>39.284614068115687</v>
      </c>
      <c r="G23" s="10">
        <v>11828</v>
      </c>
      <c r="H23" s="20">
        <f t="shared" si="0"/>
        <v>8.2064008214958063E-3</v>
      </c>
      <c r="I23" s="14">
        <f t="shared" si="1"/>
        <v>1918</v>
      </c>
      <c r="J23" s="6">
        <v>45481</v>
      </c>
      <c r="K23" s="14"/>
    </row>
    <row r="24" spans="1:11" x14ac:dyDescent="0.3">
      <c r="A24" s="6">
        <v>45481</v>
      </c>
      <c r="B24" s="11" t="s">
        <v>10</v>
      </c>
      <c r="C24" s="8">
        <v>6772</v>
      </c>
      <c r="D24" s="8">
        <v>536</v>
      </c>
      <c r="E24" s="8">
        <v>239956</v>
      </c>
      <c r="F24" s="9">
        <v>9.8205504342462788</v>
      </c>
      <c r="G24" s="10">
        <v>17909</v>
      </c>
      <c r="H24" s="20">
        <f t="shared" si="0"/>
        <v>2.5988097817933289E-2</v>
      </c>
      <c r="I24" s="14">
        <f t="shared" si="1"/>
        <v>6236</v>
      </c>
      <c r="J24" s="6">
        <v>45481</v>
      </c>
      <c r="K24" s="14"/>
    </row>
    <row r="25" spans="1:11" x14ac:dyDescent="0.3">
      <c r="A25" s="6">
        <v>45481</v>
      </c>
      <c r="B25" s="11" t="s">
        <v>10</v>
      </c>
      <c r="C25" s="8">
        <v>3529</v>
      </c>
      <c r="D25" s="8">
        <v>305</v>
      </c>
      <c r="E25" s="8">
        <v>243180</v>
      </c>
      <c r="F25" s="9">
        <v>41.606628834608109</v>
      </c>
      <c r="G25" s="10">
        <v>48356</v>
      </c>
      <c r="H25" s="20">
        <f t="shared" si="0"/>
        <v>1.3257669216218439E-2</v>
      </c>
      <c r="I25" s="14">
        <f t="shared" si="1"/>
        <v>3224</v>
      </c>
      <c r="J25" s="6">
        <v>45481</v>
      </c>
      <c r="K25" s="14">
        <f t="shared" ref="K25" si="3">AVERAGE(I22:I25)</f>
        <v>4632.25</v>
      </c>
    </row>
    <row r="26" spans="1:11" x14ac:dyDescent="0.3">
      <c r="A26" s="6">
        <v>45488</v>
      </c>
      <c r="B26" s="11" t="s">
        <v>7</v>
      </c>
      <c r="C26" s="8">
        <v>3964</v>
      </c>
      <c r="D26" s="8">
        <v>378</v>
      </c>
      <c r="E26" s="8">
        <v>246766</v>
      </c>
      <c r="F26" s="9">
        <v>13.6355899921383</v>
      </c>
      <c r="G26" s="10">
        <v>23109</v>
      </c>
      <c r="H26" s="20">
        <f t="shared" si="0"/>
        <v>1.453198576789347E-2</v>
      </c>
      <c r="I26" s="14">
        <f t="shared" si="1"/>
        <v>3586</v>
      </c>
      <c r="J26" s="6">
        <v>45488</v>
      </c>
      <c r="K26" s="14"/>
    </row>
    <row r="27" spans="1:11" x14ac:dyDescent="0.3">
      <c r="A27" s="6">
        <v>45488</v>
      </c>
      <c r="B27" s="11" t="s">
        <v>8</v>
      </c>
      <c r="C27" s="8">
        <v>8137</v>
      </c>
      <c r="D27" s="8">
        <v>1045</v>
      </c>
      <c r="E27" s="8">
        <v>253858</v>
      </c>
      <c r="F27" s="9">
        <v>20.47246886054408</v>
      </c>
      <c r="G27" s="10">
        <v>12023</v>
      </c>
      <c r="H27" s="20">
        <f t="shared" si="0"/>
        <v>2.7936878097203948E-2</v>
      </c>
      <c r="I27" s="14">
        <f t="shared" si="1"/>
        <v>7092</v>
      </c>
      <c r="J27" s="6">
        <v>45488</v>
      </c>
      <c r="K27" s="14"/>
    </row>
    <row r="28" spans="1:11" x14ac:dyDescent="0.3">
      <c r="A28" s="6">
        <v>45488</v>
      </c>
      <c r="B28" s="11" t="s">
        <v>9</v>
      </c>
      <c r="C28" s="8">
        <v>1963</v>
      </c>
      <c r="D28" s="8">
        <v>137</v>
      </c>
      <c r="E28" s="8">
        <v>255684</v>
      </c>
      <c r="F28" s="9">
        <v>11.2083665774941</v>
      </c>
      <c r="G28" s="10">
        <v>24537</v>
      </c>
      <c r="H28" s="20">
        <f t="shared" si="0"/>
        <v>7.1416279469970747E-3</v>
      </c>
      <c r="I28" s="14">
        <f t="shared" si="1"/>
        <v>1826</v>
      </c>
      <c r="J28" s="6">
        <v>45488</v>
      </c>
    </row>
    <row r="29" spans="1:11" x14ac:dyDescent="0.3">
      <c r="A29" s="6">
        <v>45488</v>
      </c>
      <c r="B29" s="11" t="s">
        <v>7</v>
      </c>
      <c r="C29" s="8">
        <v>1536</v>
      </c>
      <c r="D29" s="8">
        <v>155</v>
      </c>
      <c r="E29" s="8">
        <v>257065</v>
      </c>
      <c r="F29" s="9">
        <v>12.15762550327738</v>
      </c>
      <c r="G29" s="10">
        <v>36661</v>
      </c>
      <c r="H29" s="20">
        <f t="shared" si="0"/>
        <v>5.3721821329235798E-3</v>
      </c>
      <c r="I29" s="14">
        <f t="shared" si="1"/>
        <v>1381</v>
      </c>
      <c r="J29" s="6">
        <v>45488</v>
      </c>
      <c r="K29" s="14">
        <f t="shared" ref="K29" si="4">AVERAGE(I27:I29)</f>
        <v>3433</v>
      </c>
    </row>
    <row r="30" spans="1:11" x14ac:dyDescent="0.3">
      <c r="A30" s="6">
        <v>45495</v>
      </c>
      <c r="B30" s="11" t="s">
        <v>10</v>
      </c>
      <c r="C30" s="8">
        <v>8340</v>
      </c>
      <c r="D30" s="8">
        <v>911</v>
      </c>
      <c r="E30" s="8">
        <v>264494</v>
      </c>
      <c r="F30" s="9">
        <v>37.302925586213682</v>
      </c>
      <c r="G30" s="10">
        <v>48659</v>
      </c>
      <c r="H30" s="20">
        <f t="shared" si="0"/>
        <v>2.8087593669421613E-2</v>
      </c>
      <c r="I30" s="14">
        <f t="shared" si="1"/>
        <v>7429</v>
      </c>
      <c r="J30" s="6">
        <v>45495</v>
      </c>
      <c r="K30" s="14"/>
    </row>
    <row r="31" spans="1:11" x14ac:dyDescent="0.3">
      <c r="A31" s="6">
        <v>45495</v>
      </c>
      <c r="B31" s="11" t="s">
        <v>8</v>
      </c>
      <c r="C31" s="8">
        <v>8179</v>
      </c>
      <c r="D31" s="8">
        <v>446</v>
      </c>
      <c r="E31" s="8">
        <v>272227</v>
      </c>
      <c r="F31" s="9">
        <v>41.82171496581897</v>
      </c>
      <c r="G31" s="10">
        <v>43848</v>
      </c>
      <c r="H31" s="20">
        <f t="shared" si="0"/>
        <v>2.8406440213498294E-2</v>
      </c>
      <c r="I31" s="14">
        <f t="shared" si="1"/>
        <v>7733</v>
      </c>
      <c r="J31" s="6">
        <v>45495</v>
      </c>
      <c r="K31" s="14"/>
    </row>
    <row r="32" spans="1:11" x14ac:dyDescent="0.3">
      <c r="A32" s="6">
        <v>45495</v>
      </c>
      <c r="B32" s="11" t="s">
        <v>10</v>
      </c>
      <c r="C32" s="8">
        <v>8967</v>
      </c>
      <c r="D32" s="8">
        <v>993</v>
      </c>
      <c r="E32" s="8">
        <v>280201</v>
      </c>
      <c r="F32" s="9">
        <v>52.792102811910027</v>
      </c>
      <c r="G32" s="10">
        <v>47804</v>
      </c>
      <c r="H32" s="20">
        <f t="shared" si="0"/>
        <v>2.8458142547671136E-2</v>
      </c>
      <c r="I32" s="14">
        <f t="shared" si="1"/>
        <v>7974</v>
      </c>
      <c r="J32" s="6">
        <v>45495</v>
      </c>
      <c r="K32" s="14"/>
    </row>
    <row r="33" spans="1:11" x14ac:dyDescent="0.3">
      <c r="A33" s="6">
        <v>45495</v>
      </c>
      <c r="B33" s="11" t="s">
        <v>9</v>
      </c>
      <c r="C33" s="8">
        <v>9734</v>
      </c>
      <c r="D33" s="8">
        <v>652</v>
      </c>
      <c r="E33" s="8">
        <v>289283</v>
      </c>
      <c r="F33" s="9">
        <v>49.647922622483861</v>
      </c>
      <c r="G33" s="10">
        <v>25379</v>
      </c>
      <c r="H33" s="20">
        <f t="shared" si="0"/>
        <v>3.1394862470314533E-2</v>
      </c>
      <c r="I33" s="14">
        <f t="shared" si="1"/>
        <v>9082</v>
      </c>
      <c r="J33" s="6">
        <v>45495</v>
      </c>
      <c r="K33" s="14">
        <f t="shared" ref="K33" si="5">AVERAGE(I30:I32)</f>
        <v>7712</v>
      </c>
    </row>
    <row r="34" spans="1:11" x14ac:dyDescent="0.3">
      <c r="A34" s="6">
        <v>45502</v>
      </c>
      <c r="B34" s="11" t="s">
        <v>10</v>
      </c>
      <c r="C34" s="8">
        <v>1845</v>
      </c>
      <c r="D34" s="8">
        <v>104</v>
      </c>
      <c r="E34" s="8">
        <v>291024</v>
      </c>
      <c r="F34" s="9">
        <v>28.158158777282971</v>
      </c>
      <c r="G34" s="10">
        <v>37766</v>
      </c>
      <c r="H34" s="20">
        <f t="shared" si="0"/>
        <v>5.9823244818296775E-3</v>
      </c>
      <c r="I34" s="14">
        <f t="shared" si="1"/>
        <v>1741</v>
      </c>
      <c r="J34" s="6">
        <v>45502</v>
      </c>
      <c r="K34" s="14"/>
    </row>
    <row r="35" spans="1:11" x14ac:dyDescent="0.3">
      <c r="A35" s="6">
        <v>45502</v>
      </c>
      <c r="B35" s="11" t="s">
        <v>10</v>
      </c>
      <c r="C35" s="8">
        <v>6777</v>
      </c>
      <c r="D35" s="8">
        <v>981</v>
      </c>
      <c r="E35" s="8">
        <v>296820</v>
      </c>
      <c r="F35" s="9">
        <v>23.920557913887201</v>
      </c>
      <c r="G35" s="10">
        <v>53590</v>
      </c>
      <c r="H35" s="20">
        <f t="shared" si="0"/>
        <v>1.952698605215282E-2</v>
      </c>
      <c r="I35" s="14">
        <f t="shared" si="1"/>
        <v>5796</v>
      </c>
      <c r="J35" s="6">
        <v>45502</v>
      </c>
    </row>
    <row r="36" spans="1:11" x14ac:dyDescent="0.3">
      <c r="A36" s="6">
        <v>45502</v>
      </c>
      <c r="B36" s="11" t="s">
        <v>9</v>
      </c>
      <c r="C36" s="8">
        <v>4036</v>
      </c>
      <c r="D36" s="8">
        <v>591</v>
      </c>
      <c r="E36" s="8">
        <v>300265</v>
      </c>
      <c r="F36" s="9">
        <v>44.219272975538267</v>
      </c>
      <c r="G36" s="10">
        <v>12563</v>
      </c>
      <c r="H36" s="20">
        <f t="shared" si="0"/>
        <v>1.1473198674504187E-2</v>
      </c>
      <c r="I36" s="14">
        <f t="shared" si="1"/>
        <v>3445</v>
      </c>
      <c r="J36" s="6">
        <v>45502</v>
      </c>
    </row>
    <row r="37" spans="1:11" x14ac:dyDescent="0.3">
      <c r="A37" s="6">
        <v>45502</v>
      </c>
      <c r="B37" s="11" t="s">
        <v>8</v>
      </c>
      <c r="C37" s="8">
        <v>6947</v>
      </c>
      <c r="D37" s="8">
        <v>908</v>
      </c>
      <c r="E37" s="8">
        <v>306304</v>
      </c>
      <c r="F37" s="9">
        <v>14.117673944839121</v>
      </c>
      <c r="G37" s="10">
        <v>46060</v>
      </c>
      <c r="H37" s="20">
        <f t="shared" si="0"/>
        <v>1.9715707271207691E-2</v>
      </c>
      <c r="I37" s="14">
        <f t="shared" si="1"/>
        <v>6039</v>
      </c>
      <c r="J37" s="6">
        <v>45502</v>
      </c>
      <c r="K37" s="14">
        <f t="shared" ref="K37" si="6">AVERAGE(I34:I36)</f>
        <v>3660.6666666666665</v>
      </c>
    </row>
    <row r="38" spans="1:11" x14ac:dyDescent="0.3">
      <c r="A38" s="6">
        <v>45509</v>
      </c>
      <c r="B38" s="11" t="s">
        <v>7</v>
      </c>
      <c r="C38" s="8">
        <v>3494</v>
      </c>
      <c r="D38" s="8">
        <v>281</v>
      </c>
      <c r="E38" s="8">
        <v>309517</v>
      </c>
      <c r="F38" s="9">
        <v>27.765518533715429</v>
      </c>
      <c r="G38" s="10">
        <v>39197</v>
      </c>
      <c r="H38" s="20">
        <f t="shared" si="0"/>
        <v>1.0380689913639638E-2</v>
      </c>
      <c r="I38" s="14">
        <f t="shared" si="1"/>
        <v>3213</v>
      </c>
      <c r="J38" s="6">
        <v>45509</v>
      </c>
      <c r="K38" s="14"/>
    </row>
    <row r="39" spans="1:11" x14ac:dyDescent="0.3">
      <c r="A39" s="6">
        <v>45509</v>
      </c>
      <c r="B39" s="11" t="s">
        <v>8</v>
      </c>
      <c r="C39" s="8">
        <v>3719</v>
      </c>
      <c r="D39" s="8">
        <v>222</v>
      </c>
      <c r="E39" s="8">
        <v>313014</v>
      </c>
      <c r="F39" s="9">
        <v>21.669318305251519</v>
      </c>
      <c r="G39" s="10">
        <v>13586</v>
      </c>
      <c r="H39" s="20">
        <f t="shared" si="0"/>
        <v>1.1172024254506188E-2</v>
      </c>
      <c r="I39" s="14">
        <f t="shared" si="1"/>
        <v>3497</v>
      </c>
      <c r="J39" s="6">
        <v>45509</v>
      </c>
      <c r="K39" s="14"/>
    </row>
    <row r="40" spans="1:11" x14ac:dyDescent="0.3">
      <c r="A40" s="6">
        <v>45509</v>
      </c>
      <c r="B40" s="11" t="s">
        <v>9</v>
      </c>
      <c r="C40" s="8">
        <v>2884</v>
      </c>
      <c r="D40" s="8">
        <v>341</v>
      </c>
      <c r="E40" s="8">
        <v>315557</v>
      </c>
      <c r="F40" s="9">
        <v>46.999749649033298</v>
      </c>
      <c r="G40" s="10">
        <v>26087</v>
      </c>
      <c r="H40" s="20">
        <f t="shared" si="0"/>
        <v>8.058765928184131E-3</v>
      </c>
      <c r="I40" s="14">
        <f t="shared" si="1"/>
        <v>2543</v>
      </c>
      <c r="J40" s="6">
        <v>45509</v>
      </c>
      <c r="K40" s="14"/>
    </row>
    <row r="41" spans="1:11" x14ac:dyDescent="0.3">
      <c r="A41" s="6">
        <v>45509</v>
      </c>
      <c r="B41" s="11" t="s">
        <v>10</v>
      </c>
      <c r="C41" s="8">
        <v>5349</v>
      </c>
      <c r="D41" s="8">
        <v>502</v>
      </c>
      <c r="E41" s="8">
        <v>320404</v>
      </c>
      <c r="F41" s="9">
        <v>5.2152906954969351</v>
      </c>
      <c r="G41" s="10">
        <v>58868</v>
      </c>
      <c r="H41" s="20">
        <f t="shared" si="0"/>
        <v>1.5127776182569505E-2</v>
      </c>
      <c r="I41" s="14">
        <f t="shared" si="1"/>
        <v>4847</v>
      </c>
      <c r="J41" s="6">
        <v>45509</v>
      </c>
      <c r="K41" s="14">
        <f t="shared" ref="K41" si="7">AVERAGE(I38:I41)</f>
        <v>3525</v>
      </c>
    </row>
    <row r="42" spans="1:11" x14ac:dyDescent="0.3">
      <c r="A42" s="6">
        <v>45516</v>
      </c>
      <c r="B42" s="11" t="s">
        <v>8</v>
      </c>
      <c r="C42" s="8">
        <v>6179</v>
      </c>
      <c r="D42" s="8">
        <v>384</v>
      </c>
      <c r="E42" s="8">
        <v>326199</v>
      </c>
      <c r="F42" s="9">
        <v>14.71218489327067</v>
      </c>
      <c r="G42" s="10">
        <v>33225</v>
      </c>
      <c r="H42" s="20">
        <f t="shared" si="0"/>
        <v>1.7765229200580015E-2</v>
      </c>
      <c r="I42" s="14">
        <f t="shared" si="1"/>
        <v>5795</v>
      </c>
      <c r="J42" s="6">
        <v>45516</v>
      </c>
      <c r="K42" s="14"/>
    </row>
    <row r="43" spans="1:11" x14ac:dyDescent="0.3">
      <c r="A43" s="6">
        <v>45516</v>
      </c>
      <c r="B43" s="11" t="s">
        <v>7</v>
      </c>
      <c r="C43" s="8">
        <v>7610</v>
      </c>
      <c r="D43" s="8">
        <v>757</v>
      </c>
      <c r="E43" s="8">
        <v>333052</v>
      </c>
      <c r="F43" s="9">
        <v>44.450416151231643</v>
      </c>
      <c r="G43" s="10">
        <v>39750</v>
      </c>
      <c r="H43" s="20">
        <f t="shared" si="0"/>
        <v>2.0576366453286574E-2</v>
      </c>
      <c r="I43" s="14">
        <f t="shared" si="1"/>
        <v>6853</v>
      </c>
      <c r="J43" s="6">
        <v>45516</v>
      </c>
      <c r="K43" s="14"/>
    </row>
    <row r="44" spans="1:11" x14ac:dyDescent="0.3">
      <c r="A44" s="6">
        <v>45516</v>
      </c>
      <c r="B44" s="11" t="s">
        <v>9</v>
      </c>
      <c r="C44" s="8">
        <v>7430</v>
      </c>
      <c r="D44" s="8">
        <v>397</v>
      </c>
      <c r="E44" s="8">
        <v>340085</v>
      </c>
      <c r="F44" s="9">
        <v>28.065042562888689</v>
      </c>
      <c r="G44" s="10">
        <v>16643</v>
      </c>
      <c r="H44" s="20">
        <f t="shared" si="0"/>
        <v>2.0680124086625402E-2</v>
      </c>
      <c r="I44" s="14">
        <f t="shared" si="1"/>
        <v>7033</v>
      </c>
      <c r="J44" s="6">
        <v>45516</v>
      </c>
    </row>
    <row r="45" spans="1:11" x14ac:dyDescent="0.3">
      <c r="A45" s="6">
        <v>45516</v>
      </c>
      <c r="B45" s="11" t="s">
        <v>8</v>
      </c>
      <c r="C45" s="8">
        <v>8154</v>
      </c>
      <c r="D45" s="8">
        <v>1149</v>
      </c>
      <c r="E45" s="8">
        <v>347090</v>
      </c>
      <c r="F45" s="9">
        <v>26.003918292085629</v>
      </c>
      <c r="G45" s="10">
        <v>37523</v>
      </c>
      <c r="H45" s="20">
        <f t="shared" si="0"/>
        <v>2.0182085338096747E-2</v>
      </c>
      <c r="I45" s="14">
        <f t="shared" si="1"/>
        <v>7005</v>
      </c>
      <c r="J45" s="6">
        <v>45516</v>
      </c>
      <c r="K45" s="14">
        <f t="shared" ref="K45" si="8">AVERAGE(I43:I45)</f>
        <v>6963.666666666667</v>
      </c>
    </row>
    <row r="46" spans="1:11" x14ac:dyDescent="0.3">
      <c r="A46" s="6">
        <v>45523</v>
      </c>
      <c r="B46" s="11" t="s">
        <v>7</v>
      </c>
      <c r="C46" s="8">
        <v>7488</v>
      </c>
      <c r="D46" s="8">
        <v>568</v>
      </c>
      <c r="E46" s="8">
        <v>354010</v>
      </c>
      <c r="F46" s="9">
        <v>13.47730290104799</v>
      </c>
      <c r="G46" s="10">
        <v>46727</v>
      </c>
      <c r="H46" s="20">
        <f t="shared" si="0"/>
        <v>1.9547470410440384E-2</v>
      </c>
      <c r="I46" s="14">
        <f t="shared" si="1"/>
        <v>6920</v>
      </c>
      <c r="J46" s="6">
        <v>45523</v>
      </c>
      <c r="K46" s="14"/>
    </row>
    <row r="47" spans="1:11" x14ac:dyDescent="0.3">
      <c r="A47" s="6">
        <v>45523</v>
      </c>
      <c r="B47" s="11" t="s">
        <v>9</v>
      </c>
      <c r="C47" s="8">
        <v>5737</v>
      </c>
      <c r="D47" s="8">
        <v>666</v>
      </c>
      <c r="E47" s="8">
        <v>359081</v>
      </c>
      <c r="F47" s="9">
        <v>4.6034181702735593</v>
      </c>
      <c r="G47" s="10">
        <v>21005</v>
      </c>
      <c r="H47" s="20">
        <f t="shared" si="0"/>
        <v>1.4122161852061233E-2</v>
      </c>
      <c r="I47" s="14">
        <f t="shared" si="1"/>
        <v>5071</v>
      </c>
      <c r="J47" s="6">
        <v>45523</v>
      </c>
      <c r="K47" s="14"/>
    </row>
    <row r="48" spans="1:11" x14ac:dyDescent="0.3">
      <c r="A48" s="6">
        <v>45523</v>
      </c>
      <c r="B48" s="11" t="s">
        <v>7</v>
      </c>
      <c r="C48" s="8">
        <v>7525</v>
      </c>
      <c r="D48" s="8">
        <v>610</v>
      </c>
      <c r="E48" s="8">
        <v>365996</v>
      </c>
      <c r="F48" s="9">
        <v>5.7694619613329108</v>
      </c>
      <c r="G48" s="10">
        <v>53543</v>
      </c>
      <c r="H48" s="20">
        <f t="shared" si="0"/>
        <v>1.8893649110919244E-2</v>
      </c>
      <c r="I48" s="14">
        <f t="shared" si="1"/>
        <v>6915</v>
      </c>
      <c r="J48" s="6">
        <v>45523</v>
      </c>
      <c r="K48" s="14"/>
    </row>
    <row r="49" spans="1:11" x14ac:dyDescent="0.3">
      <c r="A49" s="6">
        <v>45523</v>
      </c>
      <c r="B49" s="11" t="s">
        <v>9</v>
      </c>
      <c r="C49" s="8">
        <v>4850</v>
      </c>
      <c r="D49" s="8">
        <v>494</v>
      </c>
      <c r="E49" s="8">
        <v>370352</v>
      </c>
      <c r="F49" s="9">
        <v>20.46539508359615</v>
      </c>
      <c r="G49" s="10">
        <v>10161</v>
      </c>
      <c r="H49" s="20">
        <f t="shared" si="0"/>
        <v>1.176178338445587E-2</v>
      </c>
      <c r="I49" s="14">
        <f t="shared" si="1"/>
        <v>4356</v>
      </c>
      <c r="J49" s="6">
        <v>45523</v>
      </c>
      <c r="K49" s="14">
        <f t="shared" ref="K49" si="9">AVERAGE(I46:I48)</f>
        <v>6302</v>
      </c>
    </row>
    <row r="50" spans="1:11" x14ac:dyDescent="0.3">
      <c r="A50" s="6">
        <v>45530</v>
      </c>
      <c r="B50" s="11" t="s">
        <v>10</v>
      </c>
      <c r="C50" s="8">
        <v>1689</v>
      </c>
      <c r="D50" s="8">
        <v>176</v>
      </c>
      <c r="E50" s="8">
        <v>371865</v>
      </c>
      <c r="F50" s="9">
        <v>38.012181840183942</v>
      </c>
      <c r="G50" s="10">
        <v>26029</v>
      </c>
      <c r="H50" s="20">
        <f t="shared" si="0"/>
        <v>4.068680838476329E-3</v>
      </c>
      <c r="I50" s="14">
        <f t="shared" si="1"/>
        <v>1513</v>
      </c>
      <c r="J50" s="6">
        <v>45530</v>
      </c>
      <c r="K50" s="14"/>
    </row>
    <row r="51" spans="1:11" x14ac:dyDescent="0.3">
      <c r="A51" s="6">
        <v>45530</v>
      </c>
      <c r="B51" s="11" t="s">
        <v>8</v>
      </c>
      <c r="C51" s="8">
        <v>6175</v>
      </c>
      <c r="D51" s="8">
        <v>422</v>
      </c>
      <c r="E51" s="8">
        <v>377618</v>
      </c>
      <c r="F51" s="9">
        <v>37.86101298137271</v>
      </c>
      <c r="G51" s="10">
        <v>59745</v>
      </c>
      <c r="H51" s="20">
        <f t="shared" si="0"/>
        <v>1.523497290913039E-2</v>
      </c>
      <c r="I51" s="14">
        <f t="shared" si="1"/>
        <v>5753</v>
      </c>
      <c r="J51" s="6">
        <v>45530</v>
      </c>
    </row>
    <row r="52" spans="1:11" x14ac:dyDescent="0.3">
      <c r="A52" s="6">
        <v>45530</v>
      </c>
      <c r="B52" s="11" t="s">
        <v>7</v>
      </c>
      <c r="C52" s="8">
        <v>9648</v>
      </c>
      <c r="D52" s="8">
        <v>1417</v>
      </c>
      <c r="E52" s="8">
        <v>385849</v>
      </c>
      <c r="F52" s="9">
        <v>3.6633501706626168</v>
      </c>
      <c r="G52" s="10">
        <v>24226</v>
      </c>
      <c r="H52" s="20">
        <f t="shared" si="0"/>
        <v>2.1332179168534842E-2</v>
      </c>
      <c r="I52" s="14">
        <f t="shared" si="1"/>
        <v>8231</v>
      </c>
      <c r="J52" s="6">
        <v>45530</v>
      </c>
    </row>
    <row r="53" spans="1:11" x14ac:dyDescent="0.3">
      <c r="A53" s="6">
        <v>45530</v>
      </c>
      <c r="B53" s="11" t="s">
        <v>9</v>
      </c>
      <c r="C53" s="8">
        <v>6078</v>
      </c>
      <c r="D53" s="8">
        <v>775</v>
      </c>
      <c r="E53" s="8">
        <v>391152</v>
      </c>
      <c r="F53" s="9">
        <v>37.760512537325639</v>
      </c>
      <c r="G53" s="10">
        <v>38731</v>
      </c>
      <c r="H53" s="20">
        <f t="shared" si="0"/>
        <v>1.3557389454738823E-2</v>
      </c>
      <c r="I53" s="14">
        <f t="shared" si="1"/>
        <v>5303</v>
      </c>
      <c r="J53" s="6">
        <v>45530</v>
      </c>
      <c r="K53" s="14">
        <f t="shared" ref="K53" si="10">AVERAGE(I50:I52)</f>
        <v>5165.666666666667</v>
      </c>
    </row>
    <row r="54" spans="1:11" x14ac:dyDescent="0.3">
      <c r="A54" s="6">
        <v>45537</v>
      </c>
      <c r="B54" s="11" t="s">
        <v>7</v>
      </c>
      <c r="C54" s="8">
        <v>6448</v>
      </c>
      <c r="D54" s="8">
        <v>928</v>
      </c>
      <c r="E54" s="8">
        <v>396672</v>
      </c>
      <c r="F54" s="9">
        <v>30.118586640851881</v>
      </c>
      <c r="G54" s="10">
        <v>53922</v>
      </c>
      <c r="H54" s="20">
        <f t="shared" si="0"/>
        <v>1.3915779283639884E-2</v>
      </c>
      <c r="I54" s="14">
        <f t="shared" si="1"/>
        <v>5520</v>
      </c>
      <c r="J54" s="6">
        <v>45537</v>
      </c>
      <c r="K54" s="14"/>
    </row>
    <row r="55" spans="1:11" x14ac:dyDescent="0.3">
      <c r="A55" s="6">
        <v>45537</v>
      </c>
      <c r="B55" s="11" t="s">
        <v>7</v>
      </c>
      <c r="C55" s="8">
        <v>2179</v>
      </c>
      <c r="D55" s="8">
        <v>303</v>
      </c>
      <c r="E55" s="8">
        <v>398548</v>
      </c>
      <c r="F55" s="9">
        <v>33.909842729106657</v>
      </c>
      <c r="G55" s="10">
        <v>54848</v>
      </c>
      <c r="H55" s="20">
        <f t="shared" si="0"/>
        <v>4.7070867248110645E-3</v>
      </c>
      <c r="I55" s="14">
        <f t="shared" si="1"/>
        <v>1876</v>
      </c>
      <c r="J55" s="6">
        <v>45537</v>
      </c>
      <c r="K55" s="14"/>
    </row>
    <row r="56" spans="1:11" x14ac:dyDescent="0.3">
      <c r="A56" s="6">
        <v>45537</v>
      </c>
      <c r="B56" s="11" t="s">
        <v>8</v>
      </c>
      <c r="C56" s="8">
        <v>7406</v>
      </c>
      <c r="D56" s="8">
        <v>813</v>
      </c>
      <c r="E56" s="8">
        <v>405141</v>
      </c>
      <c r="F56" s="9">
        <v>24.457411123534769</v>
      </c>
      <c r="G56" s="10">
        <v>13390</v>
      </c>
      <c r="H56" s="20">
        <f t="shared" si="0"/>
        <v>1.6273346810122897E-2</v>
      </c>
      <c r="I56" s="14">
        <f t="shared" si="1"/>
        <v>6593</v>
      </c>
      <c r="J56" s="6">
        <v>45537</v>
      </c>
      <c r="K56" s="14"/>
    </row>
    <row r="57" spans="1:11" x14ac:dyDescent="0.3">
      <c r="A57" s="6">
        <v>45537</v>
      </c>
      <c r="B57" s="11" t="s">
        <v>10</v>
      </c>
      <c r="C57" s="8">
        <v>9591</v>
      </c>
      <c r="D57" s="8">
        <v>1363</v>
      </c>
      <c r="E57" s="8">
        <v>413369</v>
      </c>
      <c r="F57" s="9">
        <v>10.494255737609739</v>
      </c>
      <c r="G57" s="10">
        <v>15997</v>
      </c>
      <c r="H57" s="20">
        <f t="shared" si="0"/>
        <v>1.9904734026983156E-2</v>
      </c>
      <c r="I57" s="14">
        <f t="shared" si="1"/>
        <v>8228</v>
      </c>
      <c r="J57" s="6">
        <v>45537</v>
      </c>
      <c r="K57" s="14">
        <f t="shared" ref="K57" si="11">AVERAGE(I54:I57)</f>
        <v>5554.25</v>
      </c>
    </row>
    <row r="58" spans="1:11" x14ac:dyDescent="0.3">
      <c r="A58" s="6">
        <v>45544</v>
      </c>
      <c r="B58" s="11" t="s">
        <v>7</v>
      </c>
      <c r="C58" s="8">
        <v>7907</v>
      </c>
      <c r="D58" s="8">
        <v>465</v>
      </c>
      <c r="E58" s="8">
        <v>420811</v>
      </c>
      <c r="F58" s="9">
        <v>33.257448118038738</v>
      </c>
      <c r="G58" s="10">
        <v>22693</v>
      </c>
      <c r="H58" s="20">
        <f t="shared" si="0"/>
        <v>1.76848989213685E-2</v>
      </c>
      <c r="I58" s="14">
        <f t="shared" si="1"/>
        <v>7442</v>
      </c>
      <c r="J58" s="6">
        <v>45544</v>
      </c>
      <c r="K58" s="14"/>
    </row>
    <row r="59" spans="1:11" x14ac:dyDescent="0.3">
      <c r="A59" s="6">
        <v>45544</v>
      </c>
      <c r="B59" s="11" t="s">
        <v>9</v>
      </c>
      <c r="C59" s="8">
        <v>9800</v>
      </c>
      <c r="D59" s="8">
        <v>682</v>
      </c>
      <c r="E59" s="8">
        <v>429929</v>
      </c>
      <c r="F59" s="9">
        <v>6.2966210699906267</v>
      </c>
      <c r="G59" s="10">
        <v>59815</v>
      </c>
      <c r="H59" s="20">
        <f t="shared" si="0"/>
        <v>2.1208152974095722E-2</v>
      </c>
      <c r="I59" s="14">
        <f t="shared" si="1"/>
        <v>9118</v>
      </c>
      <c r="J59" s="6">
        <v>45544</v>
      </c>
      <c r="K59" s="14"/>
    </row>
    <row r="60" spans="1:11" x14ac:dyDescent="0.3">
      <c r="A60" s="6">
        <v>45544</v>
      </c>
      <c r="B60" s="11" t="s">
        <v>9</v>
      </c>
      <c r="C60" s="8">
        <v>2638</v>
      </c>
      <c r="D60" s="8">
        <v>143</v>
      </c>
      <c r="E60" s="8">
        <v>432424</v>
      </c>
      <c r="F60" s="9">
        <v>6.9547481175882924</v>
      </c>
      <c r="G60" s="10">
        <v>52092</v>
      </c>
      <c r="H60" s="20">
        <f t="shared" si="0"/>
        <v>5.7698000111002165E-3</v>
      </c>
      <c r="I60" s="14">
        <f t="shared" si="1"/>
        <v>2495</v>
      </c>
      <c r="J60" s="6">
        <v>45544</v>
      </c>
    </row>
    <row r="61" spans="1:11" x14ac:dyDescent="0.3">
      <c r="A61" s="6">
        <v>45544</v>
      </c>
      <c r="B61" s="11" t="s">
        <v>10</v>
      </c>
      <c r="C61" s="8">
        <v>6671</v>
      </c>
      <c r="D61" s="8">
        <v>550</v>
      </c>
      <c r="E61" s="8">
        <v>438545</v>
      </c>
      <c r="F61" s="9">
        <v>17.750287883797562</v>
      </c>
      <c r="G61" s="10">
        <v>10541</v>
      </c>
      <c r="H61" s="20">
        <f t="shared" si="0"/>
        <v>1.3957518612685129E-2</v>
      </c>
      <c r="I61" s="14">
        <f t="shared" si="1"/>
        <v>6121</v>
      </c>
      <c r="J61" s="6">
        <v>45544</v>
      </c>
      <c r="K61" s="14">
        <f t="shared" ref="K61" si="12">AVERAGE(I59:I61)</f>
        <v>5911.333333333333</v>
      </c>
    </row>
    <row r="62" spans="1:11" x14ac:dyDescent="0.3">
      <c r="A62" s="6">
        <v>45551</v>
      </c>
      <c r="B62" s="11" t="s">
        <v>9</v>
      </c>
      <c r="C62" s="8">
        <v>7928</v>
      </c>
      <c r="D62" s="8">
        <v>704</v>
      </c>
      <c r="E62" s="8">
        <v>445769</v>
      </c>
      <c r="F62" s="9">
        <v>11.194362999670229</v>
      </c>
      <c r="G62" s="10">
        <v>31817</v>
      </c>
      <c r="H62" s="20">
        <f t="shared" si="0"/>
        <v>1.6205702953772022E-2</v>
      </c>
      <c r="I62" s="14">
        <f t="shared" si="1"/>
        <v>7224</v>
      </c>
      <c r="J62" s="6">
        <v>45551</v>
      </c>
      <c r="K62" s="14"/>
    </row>
    <row r="63" spans="1:11" x14ac:dyDescent="0.3">
      <c r="A63" s="6">
        <v>45551</v>
      </c>
      <c r="B63" s="11" t="s">
        <v>10</v>
      </c>
      <c r="C63" s="8">
        <v>2382</v>
      </c>
      <c r="D63" s="8">
        <v>183</v>
      </c>
      <c r="E63" s="8">
        <v>447968</v>
      </c>
      <c r="F63" s="9">
        <v>4.7335970426459033</v>
      </c>
      <c r="G63" s="10">
        <v>47861</v>
      </c>
      <c r="H63" s="20">
        <f t="shared" si="0"/>
        <v>4.9088327737695546E-3</v>
      </c>
      <c r="I63" s="14">
        <f t="shared" si="1"/>
        <v>2199</v>
      </c>
      <c r="J63" s="6">
        <v>45551</v>
      </c>
      <c r="K63" s="14"/>
    </row>
    <row r="64" spans="1:11" x14ac:dyDescent="0.3">
      <c r="A64" s="6">
        <v>45551</v>
      </c>
      <c r="B64" s="11" t="s">
        <v>9</v>
      </c>
      <c r="C64" s="8">
        <v>2403</v>
      </c>
      <c r="D64" s="8">
        <v>319</v>
      </c>
      <c r="E64" s="8">
        <v>450052</v>
      </c>
      <c r="F64" s="9">
        <v>29.92120910472568</v>
      </c>
      <c r="G64" s="10">
        <v>23428</v>
      </c>
      <c r="H64" s="20">
        <f t="shared" si="0"/>
        <v>4.6305760223263092E-3</v>
      </c>
      <c r="I64" s="14">
        <f t="shared" si="1"/>
        <v>2084</v>
      </c>
      <c r="J64" s="6">
        <v>45551</v>
      </c>
      <c r="K64" s="14"/>
    </row>
    <row r="65" spans="1:11" x14ac:dyDescent="0.3">
      <c r="A65" s="6">
        <v>45551</v>
      </c>
      <c r="B65" s="11" t="s">
        <v>8</v>
      </c>
      <c r="C65" s="8">
        <v>4292</v>
      </c>
      <c r="D65" s="8">
        <v>367</v>
      </c>
      <c r="E65" s="8">
        <v>453977</v>
      </c>
      <c r="F65" s="9">
        <v>3.5037017293827661</v>
      </c>
      <c r="G65" s="10">
        <v>53934</v>
      </c>
      <c r="H65" s="20">
        <f t="shared" si="0"/>
        <v>8.6458124530537899E-3</v>
      </c>
      <c r="I65" s="14">
        <f t="shared" si="1"/>
        <v>3925</v>
      </c>
      <c r="J65" s="6">
        <v>45551</v>
      </c>
      <c r="K65" s="14">
        <f t="shared" ref="K65" si="13">AVERAGE(I62:I64)</f>
        <v>3835.6666666666665</v>
      </c>
    </row>
    <row r="66" spans="1:11" x14ac:dyDescent="0.3">
      <c r="A66" s="6">
        <v>45558</v>
      </c>
      <c r="B66" s="11" t="s">
        <v>7</v>
      </c>
      <c r="C66" s="8">
        <v>1419</v>
      </c>
      <c r="D66" s="8">
        <v>110</v>
      </c>
      <c r="E66" s="8">
        <v>455286</v>
      </c>
      <c r="F66" s="9">
        <v>31.554451487636339</v>
      </c>
      <c r="G66" s="10">
        <v>58831</v>
      </c>
      <c r="H66" s="20">
        <f t="shared" si="0"/>
        <v>2.8751158612388694E-3</v>
      </c>
      <c r="I66" s="14">
        <f t="shared" si="1"/>
        <v>1309</v>
      </c>
      <c r="J66" s="6">
        <v>45558</v>
      </c>
      <c r="K66" s="14"/>
    </row>
    <row r="67" spans="1:11" x14ac:dyDescent="0.3">
      <c r="A67" s="6">
        <v>45558</v>
      </c>
      <c r="B67" s="11" t="s">
        <v>8</v>
      </c>
      <c r="C67" s="8">
        <v>5517</v>
      </c>
      <c r="D67" s="8">
        <v>575</v>
      </c>
      <c r="E67" s="8">
        <v>460228</v>
      </c>
      <c r="F67" s="9">
        <v>29.45844233727631</v>
      </c>
      <c r="G67" s="10">
        <v>20258</v>
      </c>
      <c r="H67" s="20">
        <f t="shared" ref="H67:H130" si="14">(I67)/(E67)</f>
        <v>1.07381558705685E-2</v>
      </c>
      <c r="I67" s="14">
        <f t="shared" ref="I67:I130" si="15">(C67)-(D67)</f>
        <v>4942</v>
      </c>
      <c r="J67" s="6">
        <v>45558</v>
      </c>
    </row>
    <row r="68" spans="1:11" x14ac:dyDescent="0.3">
      <c r="A68" s="6">
        <v>45558</v>
      </c>
      <c r="B68" s="11" t="s">
        <v>7</v>
      </c>
      <c r="C68" s="8">
        <v>4302</v>
      </c>
      <c r="D68" s="8">
        <v>275</v>
      </c>
      <c r="E68" s="8">
        <v>464255</v>
      </c>
      <c r="F68" s="9">
        <v>15.72131694865968</v>
      </c>
      <c r="G68" s="10">
        <v>26044</v>
      </c>
      <c r="H68" s="20">
        <f t="shared" si="14"/>
        <v>8.6741122874282456E-3</v>
      </c>
      <c r="I68" s="14">
        <f t="shared" si="15"/>
        <v>4027</v>
      </c>
      <c r="J68" s="6">
        <v>45558</v>
      </c>
    </row>
    <row r="69" spans="1:11" x14ac:dyDescent="0.3">
      <c r="A69" s="6">
        <v>45558</v>
      </c>
      <c r="B69" s="11" t="s">
        <v>7</v>
      </c>
      <c r="C69" s="8">
        <v>8857</v>
      </c>
      <c r="D69" s="8">
        <v>1153</v>
      </c>
      <c r="E69" s="8">
        <v>471959</v>
      </c>
      <c r="F69" s="9">
        <v>19.214592793018038</v>
      </c>
      <c r="G69" s="10">
        <v>39411</v>
      </c>
      <c r="H69" s="20">
        <f t="shared" si="14"/>
        <v>1.6323451825264481E-2</v>
      </c>
      <c r="I69" s="14">
        <f t="shared" si="15"/>
        <v>7704</v>
      </c>
      <c r="J69" s="6">
        <v>45558</v>
      </c>
      <c r="K69" s="14">
        <f t="shared" ref="K69" si="16">AVERAGE(I66:I68)</f>
        <v>3426</v>
      </c>
    </row>
    <row r="70" spans="1:11" x14ac:dyDescent="0.3">
      <c r="A70" s="6">
        <v>45565</v>
      </c>
      <c r="B70" s="11" t="s">
        <v>7</v>
      </c>
      <c r="C70" s="8">
        <v>8870</v>
      </c>
      <c r="D70" s="8">
        <v>509</v>
      </c>
      <c r="E70" s="8">
        <v>480320</v>
      </c>
      <c r="F70" s="9">
        <v>25.077864756828781</v>
      </c>
      <c r="G70" s="10">
        <v>15469</v>
      </c>
      <c r="H70" s="20">
        <f t="shared" si="14"/>
        <v>1.7407145236508995E-2</v>
      </c>
      <c r="I70" s="14">
        <f t="shared" si="15"/>
        <v>8361</v>
      </c>
      <c r="J70" s="6">
        <v>45565</v>
      </c>
      <c r="K70" s="14"/>
    </row>
    <row r="71" spans="1:11" x14ac:dyDescent="0.3">
      <c r="A71" s="6">
        <v>45565</v>
      </c>
      <c r="B71" s="11" t="s">
        <v>8</v>
      </c>
      <c r="C71" s="8">
        <v>6693</v>
      </c>
      <c r="D71" s="8">
        <v>995</v>
      </c>
      <c r="E71" s="8">
        <v>486018</v>
      </c>
      <c r="F71" s="9">
        <v>23.761877132122681</v>
      </c>
      <c r="G71" s="10">
        <v>38854</v>
      </c>
      <c r="H71" s="20">
        <f t="shared" si="14"/>
        <v>1.1723845618886543E-2</v>
      </c>
      <c r="I71" s="14">
        <f t="shared" si="15"/>
        <v>5698</v>
      </c>
      <c r="J71" s="6">
        <v>45565</v>
      </c>
      <c r="K71" s="14"/>
    </row>
    <row r="72" spans="1:11" x14ac:dyDescent="0.3">
      <c r="A72" s="6">
        <v>45565</v>
      </c>
      <c r="B72" s="11" t="s">
        <v>7</v>
      </c>
      <c r="C72" s="8">
        <v>1767</v>
      </c>
      <c r="D72" s="8">
        <v>224</v>
      </c>
      <c r="E72" s="8">
        <v>487561</v>
      </c>
      <c r="F72" s="9">
        <v>13.208603641390511</v>
      </c>
      <c r="G72" s="10">
        <v>16256</v>
      </c>
      <c r="H72" s="20">
        <f t="shared" si="14"/>
        <v>3.1647322078673231E-3</v>
      </c>
      <c r="I72" s="14">
        <f t="shared" si="15"/>
        <v>1543</v>
      </c>
      <c r="J72" s="6">
        <v>45565</v>
      </c>
      <c r="K72" s="14"/>
    </row>
    <row r="73" spans="1:11" x14ac:dyDescent="0.3">
      <c r="A73" s="6">
        <v>45565</v>
      </c>
      <c r="B73" s="11" t="s">
        <v>8</v>
      </c>
      <c r="C73" s="8">
        <v>3044</v>
      </c>
      <c r="D73" s="8">
        <v>212</v>
      </c>
      <c r="E73" s="8">
        <v>490393</v>
      </c>
      <c r="F73" s="9">
        <v>8.5343795690395261</v>
      </c>
      <c r="G73" s="10">
        <v>20720</v>
      </c>
      <c r="H73" s="20">
        <f t="shared" si="14"/>
        <v>5.7749600830354431E-3</v>
      </c>
      <c r="I73" s="14">
        <f t="shared" si="15"/>
        <v>2832</v>
      </c>
      <c r="J73" s="6">
        <v>45565</v>
      </c>
      <c r="K73" s="14">
        <f t="shared" ref="K73" si="17">AVERAGE(I70:I73)</f>
        <v>4608.5</v>
      </c>
    </row>
    <row r="74" spans="1:11" x14ac:dyDescent="0.3">
      <c r="A74" s="6">
        <v>45572</v>
      </c>
      <c r="B74" s="11" t="s">
        <v>10</v>
      </c>
      <c r="C74" s="8">
        <v>2549</v>
      </c>
      <c r="D74" s="8">
        <v>128</v>
      </c>
      <c r="E74" s="8">
        <v>492814</v>
      </c>
      <c r="F74" s="9">
        <v>12.734216154573531</v>
      </c>
      <c r="G74" s="10">
        <v>43937</v>
      </c>
      <c r="H74" s="20">
        <f t="shared" si="14"/>
        <v>4.9126039438814641E-3</v>
      </c>
      <c r="I74" s="14">
        <f t="shared" si="15"/>
        <v>2421</v>
      </c>
      <c r="J74" s="6">
        <v>45572</v>
      </c>
      <c r="K74" s="14"/>
    </row>
    <row r="75" spans="1:11" x14ac:dyDescent="0.3">
      <c r="A75" s="6">
        <v>45572</v>
      </c>
      <c r="B75" s="11" t="s">
        <v>9</v>
      </c>
      <c r="C75" s="8">
        <v>7140</v>
      </c>
      <c r="D75" s="8">
        <v>939</v>
      </c>
      <c r="E75" s="8">
        <v>499015</v>
      </c>
      <c r="F75" s="9">
        <v>25.120888149654821</v>
      </c>
      <c r="G75" s="10">
        <v>43598</v>
      </c>
      <c r="H75" s="20">
        <f t="shared" si="14"/>
        <v>1.2426480165926877E-2</v>
      </c>
      <c r="I75" s="14">
        <f t="shared" si="15"/>
        <v>6201</v>
      </c>
      <c r="J75" s="6">
        <v>45572</v>
      </c>
      <c r="K75" s="14"/>
    </row>
    <row r="76" spans="1:11" x14ac:dyDescent="0.3">
      <c r="A76" s="6">
        <v>45572</v>
      </c>
      <c r="B76" s="11" t="s">
        <v>9</v>
      </c>
      <c r="C76" s="8">
        <v>4716</v>
      </c>
      <c r="D76" s="8">
        <v>569</v>
      </c>
      <c r="E76" s="8">
        <v>503162</v>
      </c>
      <c r="F76" s="9">
        <v>25.64820077827817</v>
      </c>
      <c r="G76" s="10">
        <v>11651</v>
      </c>
      <c r="H76" s="20">
        <f t="shared" si="14"/>
        <v>8.2418783612434963E-3</v>
      </c>
      <c r="I76" s="14">
        <f t="shared" si="15"/>
        <v>4147</v>
      </c>
      <c r="J76" s="6">
        <v>45572</v>
      </c>
    </row>
    <row r="77" spans="1:11" x14ac:dyDescent="0.3">
      <c r="A77" s="6">
        <v>45572</v>
      </c>
      <c r="B77" s="11" t="s">
        <v>7</v>
      </c>
      <c r="C77" s="8">
        <v>5481</v>
      </c>
      <c r="D77" s="8">
        <v>673</v>
      </c>
      <c r="E77" s="8">
        <v>507970</v>
      </c>
      <c r="F77" s="9">
        <v>13.08758391243577</v>
      </c>
      <c r="G77" s="10">
        <v>29194</v>
      </c>
      <c r="H77" s="20">
        <f t="shared" si="14"/>
        <v>9.4651258932614123E-3</v>
      </c>
      <c r="I77" s="14">
        <f t="shared" si="15"/>
        <v>4808</v>
      </c>
      <c r="J77" s="6">
        <v>45572</v>
      </c>
      <c r="K77" s="14">
        <f t="shared" ref="K77" si="18">AVERAGE(I75:I77)</f>
        <v>5052</v>
      </c>
    </row>
    <row r="78" spans="1:11" x14ac:dyDescent="0.3">
      <c r="A78" s="6">
        <v>45579</v>
      </c>
      <c r="B78" s="11" t="s">
        <v>8</v>
      </c>
      <c r="C78" s="8">
        <v>8898</v>
      </c>
      <c r="D78" s="8">
        <v>1131</v>
      </c>
      <c r="E78" s="8">
        <v>515737</v>
      </c>
      <c r="F78" s="9">
        <v>2.1877429775253669</v>
      </c>
      <c r="G78" s="10">
        <v>35051</v>
      </c>
      <c r="H78" s="20">
        <f t="shared" si="14"/>
        <v>1.5060001512398761E-2</v>
      </c>
      <c r="I78" s="14">
        <f t="shared" si="15"/>
        <v>7767</v>
      </c>
      <c r="J78" s="6">
        <v>45579</v>
      </c>
      <c r="K78" s="14"/>
    </row>
    <row r="79" spans="1:11" x14ac:dyDescent="0.3">
      <c r="A79" s="6">
        <v>45579</v>
      </c>
      <c r="B79" s="11" t="s">
        <v>9</v>
      </c>
      <c r="C79" s="8">
        <v>7548</v>
      </c>
      <c r="D79" s="8">
        <v>433</v>
      </c>
      <c r="E79" s="8">
        <v>522852</v>
      </c>
      <c r="F79" s="9">
        <v>8.3562843787534522</v>
      </c>
      <c r="G79" s="10">
        <v>37386</v>
      </c>
      <c r="H79" s="20">
        <f t="shared" si="14"/>
        <v>1.3608057347012157E-2</v>
      </c>
      <c r="I79" s="14">
        <f t="shared" si="15"/>
        <v>7115</v>
      </c>
      <c r="J79" s="6">
        <v>45579</v>
      </c>
      <c r="K79" s="14"/>
    </row>
    <row r="80" spans="1:11" x14ac:dyDescent="0.3">
      <c r="A80" s="6">
        <v>45579</v>
      </c>
      <c r="B80" s="11" t="s">
        <v>8</v>
      </c>
      <c r="C80" s="8">
        <v>3293</v>
      </c>
      <c r="D80" s="8">
        <v>282</v>
      </c>
      <c r="E80" s="8">
        <v>525863</v>
      </c>
      <c r="F80" s="9">
        <v>27.040693108281051</v>
      </c>
      <c r="G80" s="10">
        <v>19518</v>
      </c>
      <c r="H80" s="20">
        <f t="shared" si="14"/>
        <v>5.7258259280458983E-3</v>
      </c>
      <c r="I80" s="14">
        <f t="shared" si="15"/>
        <v>3011</v>
      </c>
      <c r="J80" s="6">
        <v>45579</v>
      </c>
      <c r="K80" s="14"/>
    </row>
    <row r="81" spans="1:11" x14ac:dyDescent="0.3">
      <c r="A81" s="6">
        <v>45579</v>
      </c>
      <c r="B81" s="11" t="s">
        <v>8</v>
      </c>
      <c r="C81" s="8">
        <v>5837</v>
      </c>
      <c r="D81" s="8">
        <v>359</v>
      </c>
      <c r="E81" s="8">
        <v>531341</v>
      </c>
      <c r="F81" s="9">
        <v>6.8073045370110723</v>
      </c>
      <c r="G81" s="10">
        <v>56026</v>
      </c>
      <c r="H81" s="20">
        <f t="shared" si="14"/>
        <v>1.0309763409938251E-2</v>
      </c>
      <c r="I81" s="14">
        <f t="shared" si="15"/>
        <v>5478</v>
      </c>
      <c r="J81" s="6">
        <v>45579</v>
      </c>
      <c r="K81" s="14">
        <f t="shared" ref="K81" si="19">AVERAGE(I78:I80)</f>
        <v>5964.333333333333</v>
      </c>
    </row>
    <row r="82" spans="1:11" x14ac:dyDescent="0.3">
      <c r="A82" s="6">
        <v>45586</v>
      </c>
      <c r="B82" s="11" t="s">
        <v>7</v>
      </c>
      <c r="C82" s="8">
        <v>8758</v>
      </c>
      <c r="D82" s="8">
        <v>1193</v>
      </c>
      <c r="E82" s="8">
        <v>538906</v>
      </c>
      <c r="F82" s="9">
        <v>3.4213758985797149</v>
      </c>
      <c r="G82" s="10">
        <v>26184</v>
      </c>
      <c r="H82" s="20">
        <f t="shared" si="14"/>
        <v>1.4037698596786824E-2</v>
      </c>
      <c r="I82" s="14">
        <f t="shared" si="15"/>
        <v>7565</v>
      </c>
      <c r="J82" s="6">
        <v>45586</v>
      </c>
      <c r="K82" s="14"/>
    </row>
    <row r="83" spans="1:11" x14ac:dyDescent="0.3">
      <c r="A83" s="6">
        <v>45586</v>
      </c>
      <c r="B83" s="11" t="s">
        <v>9</v>
      </c>
      <c r="C83" s="8">
        <v>7793</v>
      </c>
      <c r="D83" s="8">
        <v>875</v>
      </c>
      <c r="E83" s="8">
        <v>545824</v>
      </c>
      <c r="F83" s="9">
        <v>5.5136820660139527</v>
      </c>
      <c r="G83" s="10">
        <v>43787</v>
      </c>
      <c r="H83" s="20">
        <f t="shared" si="14"/>
        <v>1.267441519610717E-2</v>
      </c>
      <c r="I83" s="14">
        <f t="shared" si="15"/>
        <v>6918</v>
      </c>
      <c r="J83" s="6">
        <v>45586</v>
      </c>
    </row>
    <row r="84" spans="1:11" x14ac:dyDescent="0.3">
      <c r="A84" s="6">
        <v>45586</v>
      </c>
      <c r="B84" s="11" t="s">
        <v>7</v>
      </c>
      <c r="C84" s="8">
        <v>8638</v>
      </c>
      <c r="D84" s="8">
        <v>717</v>
      </c>
      <c r="E84" s="8">
        <v>553745</v>
      </c>
      <c r="F84" s="9">
        <v>26.921416897669499</v>
      </c>
      <c r="G84" s="10">
        <v>31621</v>
      </c>
      <c r="H84" s="20">
        <f t="shared" si="14"/>
        <v>1.4304418098583283E-2</v>
      </c>
      <c r="I84" s="14">
        <f t="shared" si="15"/>
        <v>7921</v>
      </c>
      <c r="J84" s="6">
        <v>45586</v>
      </c>
    </row>
    <row r="85" spans="1:11" x14ac:dyDescent="0.3">
      <c r="A85" s="6">
        <v>45586</v>
      </c>
      <c r="B85" s="11" t="s">
        <v>7</v>
      </c>
      <c r="C85" s="8">
        <v>8993</v>
      </c>
      <c r="D85" s="8">
        <v>506</v>
      </c>
      <c r="E85" s="8">
        <v>562232</v>
      </c>
      <c r="F85" s="9">
        <v>3.5131404829323132</v>
      </c>
      <c r="G85" s="10">
        <v>20028</v>
      </c>
      <c r="H85" s="20">
        <f t="shared" si="14"/>
        <v>1.509519202037593E-2</v>
      </c>
      <c r="I85" s="14">
        <f t="shared" si="15"/>
        <v>8487</v>
      </c>
      <c r="J85" s="6">
        <v>45586</v>
      </c>
      <c r="K85" s="14">
        <f t="shared" ref="K85" si="20">AVERAGE(I82:I84)</f>
        <v>7468</v>
      </c>
    </row>
    <row r="86" spans="1:11" x14ac:dyDescent="0.3">
      <c r="A86" s="6">
        <v>45593</v>
      </c>
      <c r="B86" s="11" t="s">
        <v>9</v>
      </c>
      <c r="C86" s="8">
        <v>7007</v>
      </c>
      <c r="D86" s="8">
        <v>568</v>
      </c>
      <c r="E86" s="8">
        <v>568671</v>
      </c>
      <c r="F86" s="9">
        <v>11.50507059442103</v>
      </c>
      <c r="G86" s="10">
        <v>22448</v>
      </c>
      <c r="H86" s="20">
        <f t="shared" si="14"/>
        <v>1.1322891443382905E-2</v>
      </c>
      <c r="I86" s="14">
        <f t="shared" si="15"/>
        <v>6439</v>
      </c>
      <c r="J86" s="6">
        <v>45593</v>
      </c>
      <c r="K86" s="14"/>
    </row>
    <row r="87" spans="1:11" x14ac:dyDescent="0.3">
      <c r="A87" s="6">
        <v>45593</v>
      </c>
      <c r="B87" s="11" t="s">
        <v>9</v>
      </c>
      <c r="C87" s="8">
        <v>6542</v>
      </c>
      <c r="D87" s="8">
        <v>539</v>
      </c>
      <c r="E87" s="8">
        <v>574674</v>
      </c>
      <c r="F87" s="9">
        <v>6.4069368024305948</v>
      </c>
      <c r="G87" s="10">
        <v>55253</v>
      </c>
      <c r="H87" s="20">
        <f t="shared" si="14"/>
        <v>1.0445922383821088E-2</v>
      </c>
      <c r="I87" s="14">
        <f t="shared" si="15"/>
        <v>6003</v>
      </c>
      <c r="J87" s="6">
        <v>45593</v>
      </c>
      <c r="K87" s="14"/>
    </row>
    <row r="88" spans="1:11" x14ac:dyDescent="0.3">
      <c r="A88" s="6">
        <v>45593</v>
      </c>
      <c r="B88" s="11" t="s">
        <v>10</v>
      </c>
      <c r="C88" s="8">
        <v>7356</v>
      </c>
      <c r="D88" s="8">
        <v>904</v>
      </c>
      <c r="E88" s="8">
        <v>581126</v>
      </c>
      <c r="F88" s="9">
        <v>17.560907617280929</v>
      </c>
      <c r="G88" s="10">
        <v>44051</v>
      </c>
      <c r="H88" s="20">
        <f t="shared" si="14"/>
        <v>1.1102583604932494E-2</v>
      </c>
      <c r="I88" s="14">
        <f t="shared" si="15"/>
        <v>6452</v>
      </c>
      <c r="J88" s="6">
        <v>45593</v>
      </c>
      <c r="K88" s="14"/>
    </row>
    <row r="89" spans="1:11" x14ac:dyDescent="0.3">
      <c r="A89" s="6">
        <v>45593</v>
      </c>
      <c r="B89" s="11" t="s">
        <v>10</v>
      </c>
      <c r="C89" s="8">
        <v>9433</v>
      </c>
      <c r="D89" s="8">
        <v>1073</v>
      </c>
      <c r="E89" s="8">
        <v>589486</v>
      </c>
      <c r="F89" s="9">
        <v>7.2934726185185053</v>
      </c>
      <c r="G89" s="10">
        <v>59811</v>
      </c>
      <c r="H89" s="20">
        <f t="shared" si="14"/>
        <v>1.4181846557848703E-2</v>
      </c>
      <c r="I89" s="14">
        <f t="shared" si="15"/>
        <v>8360</v>
      </c>
      <c r="J89" s="6">
        <v>45593</v>
      </c>
      <c r="K89" s="14">
        <f t="shared" ref="K89" si="21">AVERAGE(I86:I89)</f>
        <v>6813.5</v>
      </c>
    </row>
    <row r="90" spans="1:11" x14ac:dyDescent="0.3">
      <c r="A90" s="6">
        <v>45600</v>
      </c>
      <c r="B90" s="11" t="s">
        <v>8</v>
      </c>
      <c r="C90" s="8">
        <v>8380</v>
      </c>
      <c r="D90" s="8">
        <v>1162</v>
      </c>
      <c r="E90" s="8">
        <v>596704</v>
      </c>
      <c r="F90" s="9">
        <v>18.05853488496809</v>
      </c>
      <c r="G90" s="10">
        <v>40447</v>
      </c>
      <c r="H90" s="20">
        <f t="shared" si="14"/>
        <v>1.2096449831072022E-2</v>
      </c>
      <c r="I90" s="14">
        <f t="shared" si="15"/>
        <v>7218</v>
      </c>
      <c r="J90" s="6">
        <v>45600</v>
      </c>
      <c r="K90" s="14"/>
    </row>
    <row r="91" spans="1:11" x14ac:dyDescent="0.3">
      <c r="A91" s="6">
        <v>45600</v>
      </c>
      <c r="B91" s="11" t="s">
        <v>9</v>
      </c>
      <c r="C91" s="8">
        <v>3385</v>
      </c>
      <c r="D91" s="8">
        <v>329</v>
      </c>
      <c r="E91" s="8">
        <v>599760</v>
      </c>
      <c r="F91" s="9">
        <v>17.61788048552755</v>
      </c>
      <c r="G91" s="10">
        <v>28394</v>
      </c>
      <c r="H91" s="20">
        <f t="shared" si="14"/>
        <v>5.0953714819261036E-3</v>
      </c>
      <c r="I91" s="14">
        <f t="shared" si="15"/>
        <v>3056</v>
      </c>
      <c r="J91" s="6">
        <v>45600</v>
      </c>
      <c r="K91" s="14"/>
    </row>
    <row r="92" spans="1:11" x14ac:dyDescent="0.3">
      <c r="A92" s="6">
        <v>45600</v>
      </c>
      <c r="B92" s="11" t="s">
        <v>10</v>
      </c>
      <c r="C92" s="8">
        <v>5268</v>
      </c>
      <c r="D92" s="8">
        <v>326</v>
      </c>
      <c r="E92" s="8">
        <v>604702</v>
      </c>
      <c r="F92" s="9">
        <v>23.435841125050029</v>
      </c>
      <c r="G92" s="10">
        <v>44501</v>
      </c>
      <c r="H92" s="20">
        <f t="shared" si="14"/>
        <v>8.1726205635172366E-3</v>
      </c>
      <c r="I92" s="14">
        <f t="shared" si="15"/>
        <v>4942</v>
      </c>
      <c r="J92" s="6">
        <v>45600</v>
      </c>
    </row>
    <row r="93" spans="1:11" x14ac:dyDescent="0.3">
      <c r="A93" s="6">
        <v>45600</v>
      </c>
      <c r="B93" s="11" t="s">
        <v>8</v>
      </c>
      <c r="C93" s="8">
        <v>1671</v>
      </c>
      <c r="D93" s="8">
        <v>202</v>
      </c>
      <c r="E93" s="8">
        <v>606171</v>
      </c>
      <c r="F93" s="9">
        <v>15.150015424690389</v>
      </c>
      <c r="G93" s="10">
        <v>40254</v>
      </c>
      <c r="H93" s="20">
        <f t="shared" si="14"/>
        <v>2.4234085761278583E-3</v>
      </c>
      <c r="I93" s="14">
        <f t="shared" si="15"/>
        <v>1469</v>
      </c>
      <c r="J93" s="6">
        <v>45600</v>
      </c>
      <c r="K93" s="14">
        <f t="shared" ref="K93" si="22">AVERAGE(I91:I93)</f>
        <v>3155.6666666666665</v>
      </c>
    </row>
    <row r="94" spans="1:11" x14ac:dyDescent="0.3">
      <c r="A94" s="6">
        <v>45607</v>
      </c>
      <c r="B94" s="11" t="s">
        <v>8</v>
      </c>
      <c r="C94" s="8">
        <v>1163</v>
      </c>
      <c r="D94" s="8">
        <v>146</v>
      </c>
      <c r="E94" s="8">
        <v>607188</v>
      </c>
      <c r="F94" s="9">
        <v>21.77776899411715</v>
      </c>
      <c r="G94" s="10">
        <v>28509</v>
      </c>
      <c r="H94" s="20">
        <f t="shared" si="14"/>
        <v>1.6749342872388782E-3</v>
      </c>
      <c r="I94" s="14">
        <f t="shared" si="15"/>
        <v>1017</v>
      </c>
      <c r="J94" s="6">
        <v>45607</v>
      </c>
      <c r="K94" s="14"/>
    </row>
    <row r="95" spans="1:11" x14ac:dyDescent="0.3">
      <c r="A95" s="6">
        <v>45607</v>
      </c>
      <c r="B95" s="11" t="s">
        <v>8</v>
      </c>
      <c r="C95" s="8">
        <v>9656</v>
      </c>
      <c r="D95" s="8">
        <v>1024</v>
      </c>
      <c r="E95" s="8">
        <v>615820</v>
      </c>
      <c r="F95" s="9">
        <v>8.7252768666168681</v>
      </c>
      <c r="G95" s="10">
        <v>58998</v>
      </c>
      <c r="H95" s="20">
        <f t="shared" si="14"/>
        <v>1.401708291383846E-2</v>
      </c>
      <c r="I95" s="14">
        <f t="shared" si="15"/>
        <v>8632</v>
      </c>
      <c r="J95" s="6">
        <v>45607</v>
      </c>
      <c r="K95" s="14"/>
    </row>
    <row r="96" spans="1:11" x14ac:dyDescent="0.3">
      <c r="A96" s="6">
        <v>45607</v>
      </c>
      <c r="B96" s="11" t="s">
        <v>10</v>
      </c>
      <c r="C96" s="8">
        <v>5592</v>
      </c>
      <c r="D96" s="8">
        <v>710</v>
      </c>
      <c r="E96" s="8">
        <v>620702</v>
      </c>
      <c r="F96" s="9">
        <v>9.07118069540617</v>
      </c>
      <c r="G96" s="10">
        <v>24472</v>
      </c>
      <c r="H96" s="20">
        <f t="shared" si="14"/>
        <v>7.8652880126050834E-3</v>
      </c>
      <c r="I96" s="14">
        <f t="shared" si="15"/>
        <v>4882</v>
      </c>
      <c r="J96" s="6">
        <v>45607</v>
      </c>
      <c r="K96" s="14"/>
    </row>
    <row r="97" spans="1:11" x14ac:dyDescent="0.3">
      <c r="A97" s="6">
        <v>45607</v>
      </c>
      <c r="B97" s="11" t="s">
        <v>9</v>
      </c>
      <c r="C97" s="8">
        <v>5795</v>
      </c>
      <c r="D97" s="8">
        <v>575</v>
      </c>
      <c r="E97" s="8">
        <v>625922</v>
      </c>
      <c r="F97" s="9">
        <v>3.0908004511744269</v>
      </c>
      <c r="G97" s="10">
        <v>55657</v>
      </c>
      <c r="H97" s="20">
        <f t="shared" si="14"/>
        <v>8.3396972785746461E-3</v>
      </c>
      <c r="I97" s="14">
        <f t="shared" si="15"/>
        <v>5220</v>
      </c>
      <c r="J97" s="6">
        <v>45607</v>
      </c>
      <c r="K97" s="14">
        <f t="shared" ref="K97" si="23">AVERAGE(I94:I96)</f>
        <v>4843.666666666667</v>
      </c>
    </row>
    <row r="98" spans="1:11" x14ac:dyDescent="0.3">
      <c r="A98" s="6">
        <v>45614</v>
      </c>
      <c r="B98" s="11" t="s">
        <v>7</v>
      </c>
      <c r="C98" s="8">
        <v>5798</v>
      </c>
      <c r="D98" s="8">
        <v>592</v>
      </c>
      <c r="E98" s="8">
        <v>631128</v>
      </c>
      <c r="F98" s="9">
        <v>1.6774727155188811</v>
      </c>
      <c r="G98" s="10">
        <v>13471</v>
      </c>
      <c r="H98" s="20">
        <f t="shared" si="14"/>
        <v>8.2487229214992831E-3</v>
      </c>
      <c r="I98" s="14">
        <f t="shared" si="15"/>
        <v>5206</v>
      </c>
      <c r="J98" s="6">
        <v>45614</v>
      </c>
      <c r="K98" s="14"/>
    </row>
    <row r="99" spans="1:11" x14ac:dyDescent="0.3">
      <c r="A99" s="6">
        <v>45614</v>
      </c>
      <c r="B99" s="11" t="s">
        <v>8</v>
      </c>
      <c r="C99" s="8">
        <v>7036</v>
      </c>
      <c r="D99" s="8">
        <v>652</v>
      </c>
      <c r="E99" s="8">
        <v>637512</v>
      </c>
      <c r="F99" s="9">
        <v>3.5705994553828009</v>
      </c>
      <c r="G99" s="10">
        <v>51796</v>
      </c>
      <c r="H99" s="20">
        <f t="shared" si="14"/>
        <v>1.0013929149568949E-2</v>
      </c>
      <c r="I99" s="14">
        <f t="shared" si="15"/>
        <v>6384</v>
      </c>
      <c r="J99" s="6">
        <v>45614</v>
      </c>
    </row>
    <row r="100" spans="1:11" x14ac:dyDescent="0.3">
      <c r="A100" s="6">
        <v>45614</v>
      </c>
      <c r="B100" s="11" t="s">
        <v>10</v>
      </c>
      <c r="C100" s="8">
        <v>3355</v>
      </c>
      <c r="D100" s="8">
        <v>176</v>
      </c>
      <c r="E100" s="8">
        <v>640691</v>
      </c>
      <c r="F100" s="9">
        <v>12.426427091999111</v>
      </c>
      <c r="G100" s="10">
        <v>40268</v>
      </c>
      <c r="H100" s="20">
        <f t="shared" si="14"/>
        <v>4.9618302738761748E-3</v>
      </c>
      <c r="I100" s="14">
        <f t="shared" si="15"/>
        <v>3179</v>
      </c>
      <c r="J100" s="6">
        <v>45614</v>
      </c>
    </row>
    <row r="101" spans="1:11" x14ac:dyDescent="0.3">
      <c r="A101" s="6">
        <v>45614</v>
      </c>
      <c r="B101" s="11" t="s">
        <v>10</v>
      </c>
      <c r="C101" s="8">
        <v>6887</v>
      </c>
      <c r="D101" s="8">
        <v>418</v>
      </c>
      <c r="E101" s="8">
        <v>647160</v>
      </c>
      <c r="F101" s="9">
        <v>20.240280610668151</v>
      </c>
      <c r="G101" s="10">
        <v>18329</v>
      </c>
      <c r="H101" s="20">
        <f t="shared" si="14"/>
        <v>9.9959824463811114E-3</v>
      </c>
      <c r="I101" s="14">
        <f t="shared" si="15"/>
        <v>6469</v>
      </c>
      <c r="J101" s="6">
        <v>45614</v>
      </c>
      <c r="K101" s="14">
        <f t="shared" ref="K101" si="24">AVERAGE(I98:I100)</f>
        <v>4923</v>
      </c>
    </row>
    <row r="102" spans="1:11" x14ac:dyDescent="0.3">
      <c r="A102" s="6">
        <v>45621</v>
      </c>
      <c r="B102" s="11" t="s">
        <v>7</v>
      </c>
      <c r="C102" s="8">
        <v>8961</v>
      </c>
      <c r="D102" s="8">
        <v>476</v>
      </c>
      <c r="E102" s="8">
        <v>655645</v>
      </c>
      <c r="F102" s="9">
        <v>15.458517947974901</v>
      </c>
      <c r="G102" s="10">
        <v>44865</v>
      </c>
      <c r="H102" s="20">
        <f t="shared" si="14"/>
        <v>1.2941454598143812E-2</v>
      </c>
      <c r="I102" s="14">
        <f t="shared" si="15"/>
        <v>8485</v>
      </c>
      <c r="J102" s="6">
        <v>45621</v>
      </c>
      <c r="K102" s="14"/>
    </row>
    <row r="103" spans="1:11" x14ac:dyDescent="0.3">
      <c r="A103" s="6">
        <v>45621</v>
      </c>
      <c r="B103" s="11" t="s">
        <v>7</v>
      </c>
      <c r="C103" s="8">
        <v>6827</v>
      </c>
      <c r="D103" s="8">
        <v>775</v>
      </c>
      <c r="E103" s="8">
        <v>661697</v>
      </c>
      <c r="F103" s="9">
        <v>15.96622018839439</v>
      </c>
      <c r="G103" s="10">
        <v>56850</v>
      </c>
      <c r="H103" s="20">
        <f t="shared" si="14"/>
        <v>9.1461802003031598E-3</v>
      </c>
      <c r="I103" s="14">
        <f t="shared" si="15"/>
        <v>6052</v>
      </c>
      <c r="J103" s="6">
        <v>45621</v>
      </c>
      <c r="K103" s="14"/>
    </row>
    <row r="104" spans="1:11" x14ac:dyDescent="0.3">
      <c r="A104" s="6">
        <v>45621</v>
      </c>
      <c r="B104" s="11" t="s">
        <v>10</v>
      </c>
      <c r="C104" s="8">
        <v>9737</v>
      </c>
      <c r="D104" s="8">
        <v>792</v>
      </c>
      <c r="E104" s="8">
        <v>670642</v>
      </c>
      <c r="F104" s="9">
        <v>5.301785453341723</v>
      </c>
      <c r="G104" s="10">
        <v>56698</v>
      </c>
      <c r="H104" s="20">
        <f t="shared" si="14"/>
        <v>1.3337965710468476E-2</v>
      </c>
      <c r="I104" s="14">
        <f t="shared" si="15"/>
        <v>8945</v>
      </c>
      <c r="J104" s="6">
        <v>45621</v>
      </c>
      <c r="K104" s="14"/>
    </row>
    <row r="105" spans="1:11" x14ac:dyDescent="0.3">
      <c r="A105" s="6">
        <v>45621</v>
      </c>
      <c r="B105" s="11" t="s">
        <v>9</v>
      </c>
      <c r="C105" s="8">
        <v>5719</v>
      </c>
      <c r="D105" s="8">
        <v>576</v>
      </c>
      <c r="E105" s="8">
        <v>675785</v>
      </c>
      <c r="F105" s="9">
        <v>10.21656296011305</v>
      </c>
      <c r="G105" s="10">
        <v>38272</v>
      </c>
      <c r="H105" s="20">
        <f t="shared" si="14"/>
        <v>7.6104086358827145E-3</v>
      </c>
      <c r="I105" s="14">
        <f t="shared" si="15"/>
        <v>5143</v>
      </c>
      <c r="J105" s="6">
        <v>45621</v>
      </c>
      <c r="K105" s="14">
        <f t="shared" ref="K105" si="25">AVERAGE(I102:I105)</f>
        <v>7156.25</v>
      </c>
    </row>
    <row r="106" spans="1:11" x14ac:dyDescent="0.3">
      <c r="A106" s="6">
        <v>45628</v>
      </c>
      <c r="B106" s="11" t="s">
        <v>7</v>
      </c>
      <c r="C106" s="8">
        <v>1593</v>
      </c>
      <c r="D106" s="8">
        <v>224</v>
      </c>
      <c r="E106" s="8">
        <v>677154</v>
      </c>
      <c r="F106" s="9">
        <v>4.1495730660972248</v>
      </c>
      <c r="G106" s="10">
        <v>52845</v>
      </c>
      <c r="H106" s="20">
        <f t="shared" si="14"/>
        <v>2.0216966893793729E-3</v>
      </c>
      <c r="I106" s="14">
        <f t="shared" si="15"/>
        <v>1369</v>
      </c>
      <c r="J106" s="6">
        <v>45628</v>
      </c>
      <c r="K106" s="14"/>
    </row>
    <row r="107" spans="1:11" x14ac:dyDescent="0.3">
      <c r="A107" s="6">
        <v>45628</v>
      </c>
      <c r="B107" s="11" t="s">
        <v>10</v>
      </c>
      <c r="C107" s="8">
        <v>5839</v>
      </c>
      <c r="D107" s="8">
        <v>437</v>
      </c>
      <c r="E107" s="8">
        <v>682556</v>
      </c>
      <c r="F107" s="9">
        <v>17.44750613869045</v>
      </c>
      <c r="G107" s="10">
        <v>16397</v>
      </c>
      <c r="H107" s="20">
        <f t="shared" si="14"/>
        <v>7.9143689309009082E-3</v>
      </c>
      <c r="I107" s="14">
        <f t="shared" si="15"/>
        <v>5402</v>
      </c>
      <c r="J107" s="6">
        <v>45628</v>
      </c>
      <c r="K107" s="14"/>
    </row>
    <row r="108" spans="1:11" x14ac:dyDescent="0.3">
      <c r="A108" s="6">
        <v>45628</v>
      </c>
      <c r="B108" s="11" t="s">
        <v>7</v>
      </c>
      <c r="C108" s="8">
        <v>8394</v>
      </c>
      <c r="D108" s="8">
        <v>764</v>
      </c>
      <c r="E108" s="8">
        <v>690186</v>
      </c>
      <c r="F108" s="9">
        <v>6.3556780346167558</v>
      </c>
      <c r="G108" s="10">
        <v>42373</v>
      </c>
      <c r="H108" s="20">
        <f t="shared" si="14"/>
        <v>1.1054990973447738E-2</v>
      </c>
      <c r="I108" s="14">
        <f t="shared" si="15"/>
        <v>7630</v>
      </c>
      <c r="J108" s="6">
        <v>45628</v>
      </c>
    </row>
    <row r="109" spans="1:11" x14ac:dyDescent="0.3">
      <c r="A109" s="6">
        <v>45628</v>
      </c>
      <c r="B109" s="11" t="s">
        <v>9</v>
      </c>
      <c r="C109" s="8">
        <v>4493</v>
      </c>
      <c r="D109" s="8">
        <v>564</v>
      </c>
      <c r="E109" s="8">
        <v>694115</v>
      </c>
      <c r="F109" s="9">
        <v>16.625487131094989</v>
      </c>
      <c r="G109" s="10">
        <v>45525</v>
      </c>
      <c r="H109" s="20">
        <f t="shared" si="14"/>
        <v>5.660445315257558E-3</v>
      </c>
      <c r="I109" s="14">
        <f t="shared" si="15"/>
        <v>3929</v>
      </c>
      <c r="J109" s="6">
        <v>45628</v>
      </c>
      <c r="K109" s="14">
        <f t="shared" ref="K109" si="26">AVERAGE(I107:I109)</f>
        <v>5653.666666666667</v>
      </c>
    </row>
    <row r="110" spans="1:11" x14ac:dyDescent="0.3">
      <c r="A110" s="6">
        <v>45635</v>
      </c>
      <c r="B110" s="11" t="s">
        <v>8</v>
      </c>
      <c r="C110" s="8">
        <v>7164</v>
      </c>
      <c r="D110" s="8">
        <v>522</v>
      </c>
      <c r="E110" s="8">
        <v>700757</v>
      </c>
      <c r="F110" s="9">
        <v>13.449169969047761</v>
      </c>
      <c r="G110" s="10">
        <v>34570</v>
      </c>
      <c r="H110" s="20">
        <f t="shared" si="14"/>
        <v>9.4783213011072308E-3</v>
      </c>
      <c r="I110" s="14">
        <f t="shared" si="15"/>
        <v>6642</v>
      </c>
      <c r="J110" s="6">
        <v>45635</v>
      </c>
      <c r="K110" s="14"/>
    </row>
    <row r="111" spans="1:11" x14ac:dyDescent="0.3">
      <c r="A111" s="6">
        <v>45635</v>
      </c>
      <c r="B111" s="11" t="s">
        <v>7</v>
      </c>
      <c r="C111" s="8">
        <v>3672</v>
      </c>
      <c r="D111" s="8">
        <v>211</v>
      </c>
      <c r="E111" s="8">
        <v>704218</v>
      </c>
      <c r="F111" s="9">
        <v>12.35057894004413</v>
      </c>
      <c r="G111" s="10">
        <v>28284</v>
      </c>
      <c r="H111" s="20">
        <f t="shared" si="14"/>
        <v>4.9146713091684675E-3</v>
      </c>
      <c r="I111" s="14">
        <f t="shared" si="15"/>
        <v>3461</v>
      </c>
      <c r="J111" s="6">
        <v>45635</v>
      </c>
      <c r="K111" s="14"/>
    </row>
    <row r="112" spans="1:11" x14ac:dyDescent="0.3">
      <c r="A112" s="6">
        <v>45635</v>
      </c>
      <c r="B112" s="11" t="s">
        <v>9</v>
      </c>
      <c r="C112" s="8">
        <v>5200</v>
      </c>
      <c r="D112" s="8">
        <v>410</v>
      </c>
      <c r="E112" s="8">
        <v>709008</v>
      </c>
      <c r="F112" s="9">
        <v>12.913394489201821</v>
      </c>
      <c r="G112" s="10">
        <v>28994</v>
      </c>
      <c r="H112" s="20">
        <f t="shared" si="14"/>
        <v>6.7559181278631555E-3</v>
      </c>
      <c r="I112" s="14">
        <f t="shared" si="15"/>
        <v>4790</v>
      </c>
      <c r="J112" s="6">
        <v>45635</v>
      </c>
      <c r="K112" s="14"/>
    </row>
    <row r="113" spans="1:11" x14ac:dyDescent="0.3">
      <c r="A113" s="6">
        <v>45635</v>
      </c>
      <c r="B113" s="11" t="s">
        <v>10</v>
      </c>
      <c r="C113" s="8">
        <v>1016</v>
      </c>
      <c r="D113" s="8">
        <v>67</v>
      </c>
      <c r="E113" s="8">
        <v>709957</v>
      </c>
      <c r="F113" s="9">
        <v>20.774215903216671</v>
      </c>
      <c r="G113" s="10">
        <v>33284</v>
      </c>
      <c r="H113" s="20">
        <f t="shared" si="14"/>
        <v>1.3367006734210664E-3</v>
      </c>
      <c r="I113" s="14">
        <f t="shared" si="15"/>
        <v>949</v>
      </c>
      <c r="J113" s="6">
        <v>45635</v>
      </c>
      <c r="K113" s="14">
        <f t="shared" ref="K113" si="27">AVERAGE(I110:I112)</f>
        <v>4964.333333333333</v>
      </c>
    </row>
    <row r="114" spans="1:11" x14ac:dyDescent="0.3">
      <c r="A114" s="6">
        <v>45642</v>
      </c>
      <c r="B114" s="11" t="s">
        <v>7</v>
      </c>
      <c r="C114" s="8">
        <v>4191</v>
      </c>
      <c r="D114" s="8">
        <v>599</v>
      </c>
      <c r="E114" s="8">
        <v>713549</v>
      </c>
      <c r="F114" s="9">
        <v>11.56416728213479</v>
      </c>
      <c r="G114" s="10">
        <v>27833</v>
      </c>
      <c r="H114" s="20">
        <f t="shared" si="14"/>
        <v>5.033992059410076E-3</v>
      </c>
      <c r="I114" s="14">
        <f t="shared" si="15"/>
        <v>3592</v>
      </c>
      <c r="J114" s="6">
        <v>45642</v>
      </c>
      <c r="K114" s="14"/>
    </row>
    <row r="115" spans="1:11" x14ac:dyDescent="0.3">
      <c r="A115" s="6">
        <v>45642</v>
      </c>
      <c r="B115" s="11" t="s">
        <v>7</v>
      </c>
      <c r="C115" s="8">
        <v>1392</v>
      </c>
      <c r="D115" s="8">
        <v>182</v>
      </c>
      <c r="E115" s="8">
        <v>714759</v>
      </c>
      <c r="F115" s="9">
        <v>5.9603306848881932</v>
      </c>
      <c r="G115" s="10">
        <v>35122</v>
      </c>
      <c r="H115" s="20">
        <f t="shared" si="14"/>
        <v>1.6928782988391892E-3</v>
      </c>
      <c r="I115" s="14">
        <f t="shared" si="15"/>
        <v>1210</v>
      </c>
      <c r="J115" s="6">
        <v>45642</v>
      </c>
    </row>
    <row r="116" spans="1:11" x14ac:dyDescent="0.3">
      <c r="A116" s="6">
        <v>45642</v>
      </c>
      <c r="B116" s="11" t="s">
        <v>10</v>
      </c>
      <c r="C116" s="8">
        <v>9616</v>
      </c>
      <c r="D116" s="8">
        <v>1089</v>
      </c>
      <c r="E116" s="8">
        <v>723286</v>
      </c>
      <c r="F116" s="9">
        <v>19.25863351426683</v>
      </c>
      <c r="G116" s="10">
        <v>15017</v>
      </c>
      <c r="H116" s="20">
        <f t="shared" si="14"/>
        <v>1.178925072516266E-2</v>
      </c>
      <c r="I116" s="14">
        <f t="shared" si="15"/>
        <v>8527</v>
      </c>
      <c r="J116" s="6">
        <v>45642</v>
      </c>
    </row>
    <row r="117" spans="1:11" x14ac:dyDescent="0.3">
      <c r="A117" s="6">
        <v>45642</v>
      </c>
      <c r="B117" s="11" t="s">
        <v>8</v>
      </c>
      <c r="C117" s="8">
        <v>7272</v>
      </c>
      <c r="D117" s="8">
        <v>997</v>
      </c>
      <c r="E117" s="8">
        <v>729561</v>
      </c>
      <c r="F117" s="9">
        <v>13.428486445958599</v>
      </c>
      <c r="G117" s="10">
        <v>26370</v>
      </c>
      <c r="H117" s="20">
        <f t="shared" si="14"/>
        <v>8.6010628309353167E-3</v>
      </c>
      <c r="I117" s="14">
        <f t="shared" si="15"/>
        <v>6275</v>
      </c>
      <c r="J117" s="6">
        <v>45642</v>
      </c>
      <c r="K117" s="14">
        <f t="shared" ref="K117" si="28">AVERAGE(I114:I116)</f>
        <v>4443</v>
      </c>
    </row>
    <row r="118" spans="1:11" x14ac:dyDescent="0.3">
      <c r="A118" s="6">
        <v>45649</v>
      </c>
      <c r="B118" s="11" t="s">
        <v>10</v>
      </c>
      <c r="C118" s="8">
        <v>1571</v>
      </c>
      <c r="D118" s="8">
        <v>204</v>
      </c>
      <c r="E118" s="8">
        <v>730928</v>
      </c>
      <c r="F118" s="9">
        <v>19.449384891535139</v>
      </c>
      <c r="G118" s="10">
        <v>39252</v>
      </c>
      <c r="H118" s="20">
        <f t="shared" si="14"/>
        <v>1.8702252479040344E-3</v>
      </c>
      <c r="I118" s="14">
        <f t="shared" si="15"/>
        <v>1367</v>
      </c>
      <c r="J118" s="6">
        <v>45649</v>
      </c>
      <c r="K118" s="14"/>
    </row>
    <row r="119" spans="1:11" x14ac:dyDescent="0.3">
      <c r="A119" s="6">
        <v>45649</v>
      </c>
      <c r="B119" s="11" t="s">
        <v>7</v>
      </c>
      <c r="C119" s="8">
        <v>4631</v>
      </c>
      <c r="D119" s="8">
        <v>317</v>
      </c>
      <c r="E119" s="8">
        <v>735242</v>
      </c>
      <c r="F119" s="9">
        <v>1.381177897889402</v>
      </c>
      <c r="G119" s="10">
        <v>17999</v>
      </c>
      <c r="H119" s="20">
        <f t="shared" si="14"/>
        <v>5.8674558852731479E-3</v>
      </c>
      <c r="I119" s="14">
        <f t="shared" si="15"/>
        <v>4314</v>
      </c>
      <c r="J119" s="6">
        <v>45649</v>
      </c>
      <c r="K119" s="14"/>
    </row>
    <row r="120" spans="1:11" x14ac:dyDescent="0.3">
      <c r="A120" s="6">
        <v>45649</v>
      </c>
      <c r="B120" s="11" t="s">
        <v>10</v>
      </c>
      <c r="C120" s="8">
        <v>7172</v>
      </c>
      <c r="D120" s="8">
        <v>998</v>
      </c>
      <c r="E120" s="8">
        <v>741416</v>
      </c>
      <c r="F120" s="9">
        <v>18.0667803230575</v>
      </c>
      <c r="G120" s="10">
        <v>32436</v>
      </c>
      <c r="H120" s="20">
        <f t="shared" si="14"/>
        <v>8.32730882527488E-3</v>
      </c>
      <c r="I120" s="14">
        <f t="shared" si="15"/>
        <v>6174</v>
      </c>
      <c r="J120" s="6">
        <v>45649</v>
      </c>
      <c r="K120" s="14"/>
    </row>
    <row r="121" spans="1:11" x14ac:dyDescent="0.3">
      <c r="A121" s="6">
        <v>45649</v>
      </c>
      <c r="B121" s="11" t="s">
        <v>9</v>
      </c>
      <c r="C121" s="8">
        <v>8177</v>
      </c>
      <c r="D121" s="8">
        <v>849</v>
      </c>
      <c r="E121" s="8">
        <v>748744</v>
      </c>
      <c r="F121" s="9">
        <v>10.34986590877523</v>
      </c>
      <c r="G121" s="10">
        <v>52963</v>
      </c>
      <c r="H121" s="20">
        <f t="shared" si="14"/>
        <v>9.7870567243276748E-3</v>
      </c>
      <c r="I121" s="14">
        <f t="shared" si="15"/>
        <v>7328</v>
      </c>
      <c r="J121" s="6">
        <v>45649</v>
      </c>
      <c r="K121" s="14">
        <f t="shared" ref="K121" si="29">AVERAGE(I118:I121)</f>
        <v>4795.75</v>
      </c>
    </row>
    <row r="122" spans="1:11" x14ac:dyDescent="0.3">
      <c r="A122" s="6">
        <v>45656</v>
      </c>
      <c r="B122" s="11" t="s">
        <v>10</v>
      </c>
      <c r="C122" s="8">
        <v>9433</v>
      </c>
      <c r="D122" s="8">
        <v>1233</v>
      </c>
      <c r="E122" s="8">
        <v>756944</v>
      </c>
      <c r="F122" s="9">
        <v>11.391727789638329</v>
      </c>
      <c r="G122" s="10">
        <v>12096</v>
      </c>
      <c r="H122" s="20">
        <f t="shared" si="14"/>
        <v>1.0833033883616226E-2</v>
      </c>
      <c r="I122" s="14">
        <f t="shared" si="15"/>
        <v>8200</v>
      </c>
      <c r="J122" s="6">
        <v>45656</v>
      </c>
      <c r="K122" s="14"/>
    </row>
    <row r="123" spans="1:11" x14ac:dyDescent="0.3">
      <c r="A123" s="6">
        <v>45656</v>
      </c>
      <c r="B123" s="11" t="s">
        <v>7</v>
      </c>
      <c r="C123" s="8">
        <v>4897</v>
      </c>
      <c r="D123" s="8">
        <v>683</v>
      </c>
      <c r="E123" s="8">
        <v>761158</v>
      </c>
      <c r="F123" s="9">
        <v>15.06231294947961</v>
      </c>
      <c r="G123" s="10">
        <v>58201</v>
      </c>
      <c r="H123" s="20">
        <f t="shared" si="14"/>
        <v>5.5363012672795921E-3</v>
      </c>
      <c r="I123" s="14">
        <f t="shared" si="15"/>
        <v>4214</v>
      </c>
      <c r="J123" s="6">
        <v>45656</v>
      </c>
      <c r="K123" s="14"/>
    </row>
    <row r="124" spans="1:11" x14ac:dyDescent="0.3">
      <c r="A124" s="6">
        <v>45656</v>
      </c>
      <c r="B124" s="11" t="s">
        <v>10</v>
      </c>
      <c r="C124" s="8">
        <v>9123</v>
      </c>
      <c r="D124" s="8">
        <v>746</v>
      </c>
      <c r="E124" s="8">
        <v>769535</v>
      </c>
      <c r="F124" s="9">
        <v>6.3086149427901264</v>
      </c>
      <c r="G124" s="10">
        <v>35279</v>
      </c>
      <c r="H124" s="20">
        <f t="shared" si="14"/>
        <v>1.0885794668208723E-2</v>
      </c>
      <c r="I124" s="14">
        <f t="shared" si="15"/>
        <v>8377</v>
      </c>
      <c r="J124" s="6">
        <v>45656</v>
      </c>
    </row>
    <row r="125" spans="1:11" x14ac:dyDescent="0.3">
      <c r="A125" s="6">
        <v>45656</v>
      </c>
      <c r="B125" s="11" t="s">
        <v>8</v>
      </c>
      <c r="C125" s="8">
        <v>3279</v>
      </c>
      <c r="D125" s="8">
        <v>200</v>
      </c>
      <c r="E125" s="8">
        <v>772614</v>
      </c>
      <c r="F125" s="9">
        <v>5.0212654702089274</v>
      </c>
      <c r="G125" s="10">
        <v>53363</v>
      </c>
      <c r="H125" s="20">
        <f t="shared" si="14"/>
        <v>3.9851724146857288E-3</v>
      </c>
      <c r="I125" s="14">
        <f t="shared" si="15"/>
        <v>3079</v>
      </c>
      <c r="J125" s="6">
        <v>45656</v>
      </c>
      <c r="K125" s="14">
        <f t="shared" ref="K125" si="30">AVERAGE(I123:I125)</f>
        <v>5223.333333333333</v>
      </c>
    </row>
    <row r="126" spans="1:11" x14ac:dyDescent="0.3">
      <c r="A126" s="6">
        <v>45663</v>
      </c>
      <c r="B126" s="11" t="s">
        <v>10</v>
      </c>
      <c r="C126" s="8">
        <v>9980</v>
      </c>
      <c r="D126" s="8">
        <v>726</v>
      </c>
      <c r="E126" s="8">
        <v>781868</v>
      </c>
      <c r="F126" s="9">
        <v>4.0220344099003924</v>
      </c>
      <c r="G126" s="10">
        <v>58709</v>
      </c>
      <c r="H126" s="20">
        <f t="shared" si="14"/>
        <v>1.1835757442432739E-2</v>
      </c>
      <c r="I126" s="14">
        <f t="shared" si="15"/>
        <v>9254</v>
      </c>
      <c r="J126" s="6">
        <v>45663</v>
      </c>
      <c r="K126" s="14"/>
    </row>
    <row r="127" spans="1:11" x14ac:dyDescent="0.3">
      <c r="A127" s="6">
        <v>45663</v>
      </c>
      <c r="B127" s="11" t="s">
        <v>8</v>
      </c>
      <c r="C127" s="8">
        <v>8451</v>
      </c>
      <c r="D127" s="8">
        <v>783</v>
      </c>
      <c r="E127" s="8">
        <v>789536</v>
      </c>
      <c r="F127" s="9">
        <v>12.407287318121019</v>
      </c>
      <c r="G127" s="10">
        <v>36201</v>
      </c>
      <c r="H127" s="20">
        <f t="shared" si="14"/>
        <v>9.7120333968305442E-3</v>
      </c>
      <c r="I127" s="14">
        <f t="shared" si="15"/>
        <v>7668</v>
      </c>
      <c r="J127" s="6">
        <v>45663</v>
      </c>
      <c r="K127" s="14"/>
    </row>
    <row r="128" spans="1:11" x14ac:dyDescent="0.3">
      <c r="A128" s="6">
        <v>45663</v>
      </c>
      <c r="B128" s="11" t="s">
        <v>9</v>
      </c>
      <c r="C128" s="8">
        <v>9906</v>
      </c>
      <c r="D128" s="8">
        <v>1305</v>
      </c>
      <c r="E128" s="8">
        <v>798137</v>
      </c>
      <c r="F128" s="9">
        <v>9.1811305577864442</v>
      </c>
      <c r="G128" s="10">
        <v>29715</v>
      </c>
      <c r="H128" s="20">
        <f t="shared" si="14"/>
        <v>1.0776345414383746E-2</v>
      </c>
      <c r="I128" s="14">
        <f t="shared" si="15"/>
        <v>8601</v>
      </c>
      <c r="J128" s="6">
        <v>45663</v>
      </c>
      <c r="K128" s="14"/>
    </row>
    <row r="129" spans="1:11" x14ac:dyDescent="0.3">
      <c r="A129" s="6">
        <v>45663</v>
      </c>
      <c r="B129" s="11" t="s">
        <v>8</v>
      </c>
      <c r="C129" s="8">
        <v>1775</v>
      </c>
      <c r="D129" s="8">
        <v>241</v>
      </c>
      <c r="E129" s="8">
        <v>799671</v>
      </c>
      <c r="F129" s="9">
        <v>8.1379717408784362</v>
      </c>
      <c r="G129" s="10">
        <v>39309</v>
      </c>
      <c r="H129" s="20">
        <f t="shared" si="14"/>
        <v>1.918288896308607E-3</v>
      </c>
      <c r="I129" s="14">
        <f t="shared" si="15"/>
        <v>1534</v>
      </c>
      <c r="J129" s="6">
        <v>45663</v>
      </c>
      <c r="K129" s="14">
        <f t="shared" ref="K129" si="31">AVERAGE(I126:I128)</f>
        <v>8507.6666666666661</v>
      </c>
    </row>
    <row r="130" spans="1:11" x14ac:dyDescent="0.3">
      <c r="A130" s="6">
        <v>45670</v>
      </c>
      <c r="B130" s="11" t="s">
        <v>10</v>
      </c>
      <c r="C130" s="8">
        <v>7869</v>
      </c>
      <c r="D130" s="8">
        <v>398</v>
      </c>
      <c r="E130" s="8">
        <v>807142</v>
      </c>
      <c r="F130" s="9">
        <v>15.211945357818079</v>
      </c>
      <c r="G130" s="10">
        <v>25078</v>
      </c>
      <c r="H130" s="20">
        <f t="shared" si="14"/>
        <v>9.2561160241940079E-3</v>
      </c>
      <c r="I130" s="14">
        <f t="shared" si="15"/>
        <v>7471</v>
      </c>
      <c r="J130" s="6">
        <v>45670</v>
      </c>
      <c r="K130" s="14"/>
    </row>
    <row r="131" spans="1:11" x14ac:dyDescent="0.3">
      <c r="A131" s="6">
        <v>45670</v>
      </c>
      <c r="B131" s="11" t="s">
        <v>7</v>
      </c>
      <c r="C131" s="8">
        <v>3247</v>
      </c>
      <c r="D131" s="8">
        <v>328</v>
      </c>
      <c r="E131" s="8">
        <v>810061</v>
      </c>
      <c r="F131" s="9">
        <v>13.941172331466399</v>
      </c>
      <c r="G131" s="10">
        <v>15105</v>
      </c>
      <c r="H131" s="20">
        <f t="shared" ref="H131:H194" si="32">(I131)/(E131)</f>
        <v>3.6034323341081723E-3</v>
      </c>
      <c r="I131" s="14">
        <f t="shared" ref="I131:I194" si="33">(C131)-(D131)</f>
        <v>2919</v>
      </c>
      <c r="J131" s="6">
        <v>45670</v>
      </c>
    </row>
    <row r="132" spans="1:11" x14ac:dyDescent="0.3">
      <c r="A132" s="6">
        <v>45670</v>
      </c>
      <c r="B132" s="11" t="s">
        <v>8</v>
      </c>
      <c r="C132" s="8">
        <v>8088</v>
      </c>
      <c r="D132" s="8">
        <v>742</v>
      </c>
      <c r="E132" s="8">
        <v>817407</v>
      </c>
      <c r="F132" s="9">
        <v>14.664542877660701</v>
      </c>
      <c r="G132" s="10">
        <v>39312</v>
      </c>
      <c r="H132" s="20">
        <f t="shared" si="32"/>
        <v>8.9869550909155421E-3</v>
      </c>
      <c r="I132" s="14">
        <f t="shared" si="33"/>
        <v>7346</v>
      </c>
      <c r="J132" s="6">
        <v>45670</v>
      </c>
    </row>
    <row r="133" spans="1:11" x14ac:dyDescent="0.3">
      <c r="A133" s="6">
        <v>45670</v>
      </c>
      <c r="B133" s="11" t="s">
        <v>9</v>
      </c>
      <c r="C133" s="8">
        <v>1078</v>
      </c>
      <c r="D133" s="8">
        <v>77</v>
      </c>
      <c r="E133" s="8">
        <v>818408</v>
      </c>
      <c r="F133" s="9">
        <v>18.236747441373989</v>
      </c>
      <c r="G133" s="10">
        <v>12839</v>
      </c>
      <c r="H133" s="20">
        <f t="shared" si="32"/>
        <v>1.2231063234963489E-3</v>
      </c>
      <c r="I133" s="14">
        <f t="shared" si="33"/>
        <v>1001</v>
      </c>
      <c r="J133" s="6">
        <v>45670</v>
      </c>
      <c r="K133" s="14">
        <f t="shared" ref="K133" si="34">AVERAGE(I130:I132)</f>
        <v>5912</v>
      </c>
    </row>
    <row r="134" spans="1:11" x14ac:dyDescent="0.3">
      <c r="A134" s="6">
        <v>45677</v>
      </c>
      <c r="B134" s="11" t="s">
        <v>8</v>
      </c>
      <c r="C134" s="8">
        <v>9080</v>
      </c>
      <c r="D134" s="8">
        <v>562</v>
      </c>
      <c r="E134" s="8">
        <v>826926</v>
      </c>
      <c r="F134" s="9">
        <v>7.1083748727213809</v>
      </c>
      <c r="G134" s="10">
        <v>13384</v>
      </c>
      <c r="H134" s="20">
        <f t="shared" si="32"/>
        <v>1.0300800797169276E-2</v>
      </c>
      <c r="I134" s="14">
        <f t="shared" si="33"/>
        <v>8518</v>
      </c>
      <c r="J134" s="6">
        <v>45677</v>
      </c>
      <c r="K134" s="14"/>
    </row>
    <row r="135" spans="1:11" x14ac:dyDescent="0.3">
      <c r="A135" s="6">
        <v>45677</v>
      </c>
      <c r="B135" s="11" t="s">
        <v>8</v>
      </c>
      <c r="C135" s="8">
        <v>8099</v>
      </c>
      <c r="D135" s="8">
        <v>678</v>
      </c>
      <c r="E135" s="8">
        <v>834347</v>
      </c>
      <c r="F135" s="9">
        <v>7.6464588474579518</v>
      </c>
      <c r="G135" s="10">
        <v>53619</v>
      </c>
      <c r="H135" s="20">
        <f t="shared" si="32"/>
        <v>8.8943808751035247E-3</v>
      </c>
      <c r="I135" s="14">
        <f t="shared" si="33"/>
        <v>7421</v>
      </c>
      <c r="J135" s="6">
        <v>45677</v>
      </c>
      <c r="K135" s="14"/>
    </row>
    <row r="136" spans="1:11" x14ac:dyDescent="0.3">
      <c r="A136" s="6">
        <v>45677</v>
      </c>
      <c r="B136" s="11" t="s">
        <v>8</v>
      </c>
      <c r="C136" s="8">
        <v>4926</v>
      </c>
      <c r="D136" s="8">
        <v>710</v>
      </c>
      <c r="E136" s="8">
        <v>838563</v>
      </c>
      <c r="F136" s="9">
        <v>12.96217457722318</v>
      </c>
      <c r="G136" s="10">
        <v>52821</v>
      </c>
      <c r="H136" s="20">
        <f t="shared" si="32"/>
        <v>5.0276484891415433E-3</v>
      </c>
      <c r="I136" s="14">
        <f t="shared" si="33"/>
        <v>4216</v>
      </c>
      <c r="J136" s="6">
        <v>45677</v>
      </c>
      <c r="K136" s="14"/>
    </row>
    <row r="137" spans="1:11" x14ac:dyDescent="0.3">
      <c r="A137" s="6">
        <v>45677</v>
      </c>
      <c r="B137" s="11" t="s">
        <v>9</v>
      </c>
      <c r="C137" s="8">
        <v>8340</v>
      </c>
      <c r="D137" s="8">
        <v>686</v>
      </c>
      <c r="E137" s="8">
        <v>846217</v>
      </c>
      <c r="F137" s="9">
        <v>7.201344336027284</v>
      </c>
      <c r="G137" s="10">
        <v>23493</v>
      </c>
      <c r="H137" s="20">
        <f t="shared" si="32"/>
        <v>9.0449612806171465E-3</v>
      </c>
      <c r="I137" s="14">
        <f t="shared" si="33"/>
        <v>7654</v>
      </c>
      <c r="J137" s="6">
        <v>45677</v>
      </c>
      <c r="K137" s="14">
        <f t="shared" ref="K137" si="35">AVERAGE(I134:I137)</f>
        <v>6952.25</v>
      </c>
    </row>
    <row r="138" spans="1:11" x14ac:dyDescent="0.3">
      <c r="A138" s="6">
        <v>45684</v>
      </c>
      <c r="B138" s="11" t="s">
        <v>10</v>
      </c>
      <c r="C138" s="8">
        <v>8083</v>
      </c>
      <c r="D138" s="8">
        <v>823</v>
      </c>
      <c r="E138" s="8">
        <v>853477</v>
      </c>
      <c r="F138" s="9">
        <v>4.6300017457998282</v>
      </c>
      <c r="G138" s="10">
        <v>27069</v>
      </c>
      <c r="H138" s="20">
        <f t="shared" si="32"/>
        <v>8.5063803711172073E-3</v>
      </c>
      <c r="I138" s="14">
        <f t="shared" si="33"/>
        <v>7260</v>
      </c>
      <c r="J138" s="6">
        <v>45684</v>
      </c>
      <c r="K138" s="14"/>
    </row>
    <row r="139" spans="1:11" x14ac:dyDescent="0.3">
      <c r="A139" s="6">
        <v>45684</v>
      </c>
      <c r="B139" s="11" t="s">
        <v>8</v>
      </c>
      <c r="C139" s="8">
        <v>7230</v>
      </c>
      <c r="D139" s="8">
        <v>869</v>
      </c>
      <c r="E139" s="8">
        <v>859838</v>
      </c>
      <c r="F139" s="9">
        <v>7.0117859410726204</v>
      </c>
      <c r="G139" s="10">
        <v>56907</v>
      </c>
      <c r="H139" s="20">
        <f t="shared" si="32"/>
        <v>7.397905186791E-3</v>
      </c>
      <c r="I139" s="14">
        <f t="shared" si="33"/>
        <v>6361</v>
      </c>
      <c r="J139" s="6">
        <v>45684</v>
      </c>
      <c r="K139" s="14"/>
    </row>
    <row r="140" spans="1:11" x14ac:dyDescent="0.3">
      <c r="A140" s="6">
        <v>45684</v>
      </c>
      <c r="B140" s="11" t="s">
        <v>8</v>
      </c>
      <c r="C140" s="8">
        <v>5940</v>
      </c>
      <c r="D140" s="8">
        <v>512</v>
      </c>
      <c r="E140" s="8">
        <v>865266</v>
      </c>
      <c r="F140" s="9">
        <v>15.7972230504839</v>
      </c>
      <c r="G140" s="10">
        <v>17531</v>
      </c>
      <c r="H140" s="20">
        <f t="shared" si="32"/>
        <v>6.2732154042803023E-3</v>
      </c>
      <c r="I140" s="14">
        <f t="shared" si="33"/>
        <v>5428</v>
      </c>
      <c r="J140" s="6">
        <v>45684</v>
      </c>
    </row>
    <row r="141" spans="1:11" x14ac:dyDescent="0.3">
      <c r="A141" s="6">
        <v>45684</v>
      </c>
      <c r="B141" s="11" t="s">
        <v>7</v>
      </c>
      <c r="C141" s="8">
        <v>4271</v>
      </c>
      <c r="D141" s="8">
        <v>628</v>
      </c>
      <c r="E141" s="8">
        <v>868909</v>
      </c>
      <c r="F141" s="9">
        <v>11.124410036033691</v>
      </c>
      <c r="G141" s="10">
        <v>47051</v>
      </c>
      <c r="H141" s="20">
        <f t="shared" si="32"/>
        <v>4.1926139561219876E-3</v>
      </c>
      <c r="I141" s="14">
        <f t="shared" si="33"/>
        <v>3643</v>
      </c>
      <c r="J141" s="6">
        <v>45684</v>
      </c>
      <c r="K141" s="14">
        <f t="shared" ref="K141" si="36">AVERAGE(I139:I141)</f>
        <v>5144</v>
      </c>
    </row>
    <row r="142" spans="1:11" x14ac:dyDescent="0.3">
      <c r="A142" s="6">
        <v>45691</v>
      </c>
      <c r="B142" s="11" t="s">
        <v>9</v>
      </c>
      <c r="C142" s="8">
        <v>4456</v>
      </c>
      <c r="D142" s="8">
        <v>651</v>
      </c>
      <c r="E142" s="8">
        <v>872714</v>
      </c>
      <c r="F142" s="9">
        <v>9.5052903929580594</v>
      </c>
      <c r="G142" s="10">
        <v>17736</v>
      </c>
      <c r="H142" s="20">
        <f t="shared" si="32"/>
        <v>4.3599621410908961E-3</v>
      </c>
      <c r="I142" s="14">
        <f t="shared" si="33"/>
        <v>3805</v>
      </c>
      <c r="J142" s="6">
        <v>45691</v>
      </c>
      <c r="K142" s="14"/>
    </row>
    <row r="143" spans="1:11" x14ac:dyDescent="0.3">
      <c r="A143" s="6">
        <v>45691</v>
      </c>
      <c r="B143" s="11" t="s">
        <v>8</v>
      </c>
      <c r="C143" s="8">
        <v>8788</v>
      </c>
      <c r="D143" s="8">
        <v>660</v>
      </c>
      <c r="E143" s="8">
        <v>880842</v>
      </c>
      <c r="F143" s="9">
        <v>3.7175793161543158</v>
      </c>
      <c r="G143" s="10">
        <v>17710</v>
      </c>
      <c r="H143" s="20">
        <f t="shared" si="32"/>
        <v>9.2275345635199051E-3</v>
      </c>
      <c r="I143" s="14">
        <f t="shared" si="33"/>
        <v>8128</v>
      </c>
      <c r="J143" s="6">
        <v>45691</v>
      </c>
      <c r="K143" s="14"/>
    </row>
    <row r="144" spans="1:11" x14ac:dyDescent="0.3">
      <c r="A144" s="6">
        <v>45691</v>
      </c>
      <c r="B144" s="11" t="s">
        <v>9</v>
      </c>
      <c r="C144" s="8">
        <v>9599</v>
      </c>
      <c r="D144" s="8">
        <v>957</v>
      </c>
      <c r="E144" s="8">
        <v>889484</v>
      </c>
      <c r="F144" s="9">
        <v>8.768004820772493</v>
      </c>
      <c r="G144" s="10">
        <v>11619</v>
      </c>
      <c r="H144" s="20">
        <f t="shared" si="32"/>
        <v>9.7157453085159485E-3</v>
      </c>
      <c r="I144" s="14">
        <f t="shared" si="33"/>
        <v>8642</v>
      </c>
      <c r="J144" s="6">
        <v>45691</v>
      </c>
      <c r="K144" s="14"/>
    </row>
    <row r="145" spans="1:11" x14ac:dyDescent="0.3">
      <c r="A145" s="6">
        <v>45691</v>
      </c>
      <c r="B145" s="11" t="s">
        <v>8</v>
      </c>
      <c r="C145" s="8">
        <v>8650</v>
      </c>
      <c r="D145" s="8">
        <v>692</v>
      </c>
      <c r="E145" s="8">
        <v>897442</v>
      </c>
      <c r="F145" s="9">
        <v>7.6673478620345374</v>
      </c>
      <c r="G145" s="10">
        <v>23975</v>
      </c>
      <c r="H145" s="20">
        <f t="shared" si="32"/>
        <v>8.8674254157928862E-3</v>
      </c>
      <c r="I145" s="14">
        <f t="shared" si="33"/>
        <v>7958</v>
      </c>
      <c r="J145" s="6">
        <v>45691</v>
      </c>
      <c r="K145" s="14">
        <f t="shared" ref="K145" si="37">AVERAGE(I142:I144)</f>
        <v>6858.333333333333</v>
      </c>
    </row>
    <row r="146" spans="1:11" x14ac:dyDescent="0.3">
      <c r="A146" s="6">
        <v>45698</v>
      </c>
      <c r="B146" s="11" t="s">
        <v>10</v>
      </c>
      <c r="C146" s="8">
        <v>3711</v>
      </c>
      <c r="D146" s="8">
        <v>291</v>
      </c>
      <c r="E146" s="8">
        <v>900862</v>
      </c>
      <c r="F146" s="9">
        <v>14.24879726306582</v>
      </c>
      <c r="G146" s="10">
        <v>55603</v>
      </c>
      <c r="H146" s="20">
        <f t="shared" si="32"/>
        <v>3.7963639269943676E-3</v>
      </c>
      <c r="I146" s="14">
        <f t="shared" si="33"/>
        <v>3420</v>
      </c>
      <c r="J146" s="6">
        <v>45698</v>
      </c>
      <c r="K146" s="14"/>
    </row>
    <row r="147" spans="1:11" x14ac:dyDescent="0.3">
      <c r="A147" s="6">
        <v>45698</v>
      </c>
      <c r="B147" s="11" t="s">
        <v>10</v>
      </c>
      <c r="C147" s="8">
        <v>2668</v>
      </c>
      <c r="D147" s="8">
        <v>143</v>
      </c>
      <c r="E147" s="8">
        <v>903387</v>
      </c>
      <c r="F147" s="9">
        <v>15.903372530266649</v>
      </c>
      <c r="G147" s="10">
        <v>33252</v>
      </c>
      <c r="H147" s="20">
        <f t="shared" si="32"/>
        <v>2.795036900021807E-3</v>
      </c>
      <c r="I147" s="14">
        <f t="shared" si="33"/>
        <v>2525</v>
      </c>
      <c r="J147" s="6">
        <v>45698</v>
      </c>
    </row>
    <row r="148" spans="1:11" x14ac:dyDescent="0.3">
      <c r="A148" s="6">
        <v>45698</v>
      </c>
      <c r="B148" s="11" t="s">
        <v>8</v>
      </c>
      <c r="C148" s="8">
        <v>1147</v>
      </c>
      <c r="D148" s="8">
        <v>127</v>
      </c>
      <c r="E148" s="8">
        <v>904407</v>
      </c>
      <c r="F148" s="9">
        <v>1.3997016829812241</v>
      </c>
      <c r="G148" s="10">
        <v>25261</v>
      </c>
      <c r="H148" s="20">
        <f t="shared" si="32"/>
        <v>1.1278108196862695E-3</v>
      </c>
      <c r="I148" s="14">
        <f t="shared" si="33"/>
        <v>1020</v>
      </c>
      <c r="J148" s="6">
        <v>45698</v>
      </c>
    </row>
    <row r="149" spans="1:11" x14ac:dyDescent="0.3">
      <c r="A149" s="6">
        <v>45698</v>
      </c>
      <c r="B149" s="11" t="s">
        <v>10</v>
      </c>
      <c r="C149" s="8">
        <v>7420</v>
      </c>
      <c r="D149" s="8">
        <v>743</v>
      </c>
      <c r="E149" s="8">
        <v>911084</v>
      </c>
      <c r="F149" s="9">
        <v>10.593534734448189</v>
      </c>
      <c r="G149" s="10">
        <v>11431</v>
      </c>
      <c r="H149" s="20">
        <f t="shared" si="32"/>
        <v>7.3286327056561193E-3</v>
      </c>
      <c r="I149" s="14">
        <f t="shared" si="33"/>
        <v>6677</v>
      </c>
      <c r="J149" s="6">
        <v>45698</v>
      </c>
      <c r="K149" s="14">
        <f t="shared" ref="K149" si="38">AVERAGE(I146:I148)</f>
        <v>2321.6666666666665</v>
      </c>
    </row>
    <row r="150" spans="1:11" x14ac:dyDescent="0.3">
      <c r="A150" s="6">
        <v>45705</v>
      </c>
      <c r="B150" s="11" t="s">
        <v>8</v>
      </c>
      <c r="C150" s="8">
        <v>1365</v>
      </c>
      <c r="D150" s="8">
        <v>75</v>
      </c>
      <c r="E150" s="8">
        <v>912374</v>
      </c>
      <c r="F150" s="9">
        <v>9.2688963078737441</v>
      </c>
      <c r="G150" s="10">
        <v>19067</v>
      </c>
      <c r="H150" s="20">
        <f t="shared" si="32"/>
        <v>1.4138938637006315E-3</v>
      </c>
      <c r="I150" s="14">
        <f t="shared" si="33"/>
        <v>1290</v>
      </c>
      <c r="J150" s="6">
        <v>45705</v>
      </c>
      <c r="K150" s="14"/>
    </row>
    <row r="151" spans="1:11" x14ac:dyDescent="0.3">
      <c r="A151" s="6">
        <v>45705</v>
      </c>
      <c r="B151" s="11" t="s">
        <v>10</v>
      </c>
      <c r="C151" s="8">
        <v>5531</v>
      </c>
      <c r="D151" s="8">
        <v>430</v>
      </c>
      <c r="E151" s="8">
        <v>917475</v>
      </c>
      <c r="F151" s="9">
        <v>2.7289026948963189</v>
      </c>
      <c r="G151" s="10">
        <v>47481</v>
      </c>
      <c r="H151" s="20">
        <f t="shared" si="32"/>
        <v>5.5598245183792472E-3</v>
      </c>
      <c r="I151" s="14">
        <f t="shared" si="33"/>
        <v>5101</v>
      </c>
      <c r="J151" s="6">
        <v>45705</v>
      </c>
      <c r="K151" s="14"/>
    </row>
    <row r="152" spans="1:11" x14ac:dyDescent="0.3">
      <c r="A152" s="6">
        <v>45705</v>
      </c>
      <c r="B152" s="11" t="s">
        <v>7</v>
      </c>
      <c r="C152" s="8">
        <v>6330</v>
      </c>
      <c r="D152" s="8">
        <v>891</v>
      </c>
      <c r="E152" s="8">
        <v>922914</v>
      </c>
      <c r="F152" s="9">
        <v>14.789893749580139</v>
      </c>
      <c r="G152" s="10">
        <v>37037</v>
      </c>
      <c r="H152" s="20">
        <f t="shared" si="32"/>
        <v>5.8932901657142486E-3</v>
      </c>
      <c r="I152" s="14">
        <f t="shared" si="33"/>
        <v>5439</v>
      </c>
      <c r="J152" s="6">
        <v>45705</v>
      </c>
      <c r="K152" s="14"/>
    </row>
    <row r="153" spans="1:11" x14ac:dyDescent="0.3">
      <c r="A153" s="6">
        <v>45705</v>
      </c>
      <c r="B153" s="11" t="s">
        <v>7</v>
      </c>
      <c r="C153" s="8">
        <v>6510</v>
      </c>
      <c r="D153" s="8">
        <v>481</v>
      </c>
      <c r="E153" s="8">
        <v>928943</v>
      </c>
      <c r="F153" s="9">
        <v>2.3800168578696428</v>
      </c>
      <c r="G153" s="10">
        <v>19557</v>
      </c>
      <c r="H153" s="20">
        <f t="shared" si="32"/>
        <v>6.4901721634158397E-3</v>
      </c>
      <c r="I153" s="14">
        <f t="shared" si="33"/>
        <v>6029</v>
      </c>
      <c r="J153" s="6">
        <v>45705</v>
      </c>
      <c r="K153" s="14">
        <f t="shared" ref="K153" si="39">AVERAGE(I150:I153)</f>
        <v>4464.75</v>
      </c>
    </row>
    <row r="154" spans="1:11" x14ac:dyDescent="0.3">
      <c r="A154" s="6">
        <v>45712</v>
      </c>
      <c r="B154" s="11" t="s">
        <v>7</v>
      </c>
      <c r="C154" s="8">
        <v>9754</v>
      </c>
      <c r="D154" s="8">
        <v>629</v>
      </c>
      <c r="E154" s="8">
        <v>938068</v>
      </c>
      <c r="F154" s="9">
        <v>3.4123325814333292</v>
      </c>
      <c r="G154" s="10">
        <v>19435</v>
      </c>
      <c r="H154" s="20">
        <f t="shared" si="32"/>
        <v>9.7274398018054129E-3</v>
      </c>
      <c r="I154" s="14">
        <f t="shared" si="33"/>
        <v>9125</v>
      </c>
      <c r="J154" s="6">
        <v>45712</v>
      </c>
      <c r="K154" s="14"/>
    </row>
    <row r="155" spans="1:11" x14ac:dyDescent="0.3">
      <c r="A155" s="6">
        <v>45712</v>
      </c>
      <c r="B155" s="11" t="s">
        <v>9</v>
      </c>
      <c r="C155" s="8">
        <v>9964</v>
      </c>
      <c r="D155" s="8">
        <v>985</v>
      </c>
      <c r="E155" s="8">
        <v>947047</v>
      </c>
      <c r="F155" s="9">
        <v>1.9837452629066989</v>
      </c>
      <c r="G155" s="10">
        <v>47766</v>
      </c>
      <c r="H155" s="20">
        <f t="shared" si="32"/>
        <v>9.4810500429228957E-3</v>
      </c>
      <c r="I155" s="14">
        <f t="shared" si="33"/>
        <v>8979</v>
      </c>
      <c r="J155" s="6">
        <v>45712</v>
      </c>
      <c r="K155" s="14"/>
    </row>
    <row r="156" spans="1:11" x14ac:dyDescent="0.3">
      <c r="A156" s="6">
        <v>45712</v>
      </c>
      <c r="B156" s="11" t="s">
        <v>9</v>
      </c>
      <c r="C156" s="8">
        <v>7493</v>
      </c>
      <c r="D156" s="8">
        <v>1113</v>
      </c>
      <c r="E156" s="8">
        <v>953427</v>
      </c>
      <c r="F156" s="9">
        <v>15.684892498324469</v>
      </c>
      <c r="G156" s="10">
        <v>10162</v>
      </c>
      <c r="H156" s="20">
        <f t="shared" si="32"/>
        <v>6.6916502259743013E-3</v>
      </c>
      <c r="I156" s="14">
        <f t="shared" si="33"/>
        <v>6380</v>
      </c>
      <c r="J156" s="6">
        <v>45712</v>
      </c>
    </row>
    <row r="157" spans="1:11" x14ac:dyDescent="0.3">
      <c r="A157" s="6">
        <v>45712</v>
      </c>
      <c r="B157" s="11" t="s">
        <v>7</v>
      </c>
      <c r="C157" s="8">
        <v>6439</v>
      </c>
      <c r="D157" s="8">
        <v>477</v>
      </c>
      <c r="E157" s="8">
        <v>959389</v>
      </c>
      <c r="F157" s="9">
        <v>7.4744446725989153</v>
      </c>
      <c r="G157" s="10">
        <v>44742</v>
      </c>
      <c r="H157" s="20">
        <f t="shared" si="32"/>
        <v>6.2143718554204808E-3</v>
      </c>
      <c r="I157" s="14">
        <f t="shared" si="33"/>
        <v>5962</v>
      </c>
      <c r="J157" s="6">
        <v>45712</v>
      </c>
      <c r="K157" s="14">
        <f t="shared" ref="K157" si="40">AVERAGE(I155:I157)</f>
        <v>7107</v>
      </c>
    </row>
    <row r="158" spans="1:11" x14ac:dyDescent="0.3">
      <c r="A158" s="6">
        <v>45719</v>
      </c>
      <c r="B158" s="11" t="s">
        <v>9</v>
      </c>
      <c r="C158" s="8">
        <v>7511</v>
      </c>
      <c r="D158" s="8">
        <v>880</v>
      </c>
      <c r="E158" s="8">
        <v>966020</v>
      </c>
      <c r="F158" s="9">
        <v>4.6083932009689246</v>
      </c>
      <c r="G158" s="10">
        <v>29675</v>
      </c>
      <c r="H158" s="20">
        <f t="shared" si="32"/>
        <v>6.8642471170369144E-3</v>
      </c>
      <c r="I158" s="14">
        <f t="shared" si="33"/>
        <v>6631</v>
      </c>
      <c r="J158" s="6">
        <v>45719</v>
      </c>
      <c r="K158" s="14"/>
    </row>
    <row r="159" spans="1:11" x14ac:dyDescent="0.3">
      <c r="A159" s="6">
        <v>45719</v>
      </c>
      <c r="B159" s="11" t="s">
        <v>10</v>
      </c>
      <c r="C159" s="8">
        <v>8504</v>
      </c>
      <c r="D159" s="8">
        <v>1072</v>
      </c>
      <c r="E159" s="8">
        <v>973452</v>
      </c>
      <c r="F159" s="9">
        <v>6.5651927367759271</v>
      </c>
      <c r="G159" s="10">
        <v>18461</v>
      </c>
      <c r="H159" s="20">
        <f t="shared" si="32"/>
        <v>7.6346856342171983E-3</v>
      </c>
      <c r="I159" s="14">
        <f t="shared" si="33"/>
        <v>7432</v>
      </c>
      <c r="J159" s="6">
        <v>45719</v>
      </c>
      <c r="K159" s="14"/>
    </row>
    <row r="160" spans="1:11" x14ac:dyDescent="0.3">
      <c r="A160" s="6">
        <v>45719</v>
      </c>
      <c r="B160" s="11" t="s">
        <v>8</v>
      </c>
      <c r="C160" s="8">
        <v>2246</v>
      </c>
      <c r="D160" s="8">
        <v>165</v>
      </c>
      <c r="E160" s="8">
        <v>975533</v>
      </c>
      <c r="F160" s="9">
        <v>2.9062061457685191</v>
      </c>
      <c r="G160" s="10">
        <v>27015</v>
      </c>
      <c r="H160" s="20">
        <f t="shared" si="32"/>
        <v>2.1331928289458173E-3</v>
      </c>
      <c r="I160" s="14">
        <f t="shared" si="33"/>
        <v>2081</v>
      </c>
      <c r="J160" s="6">
        <v>45719</v>
      </c>
      <c r="K160" s="14"/>
    </row>
    <row r="161" spans="1:11" x14ac:dyDescent="0.3">
      <c r="A161" s="6">
        <v>45719</v>
      </c>
      <c r="B161" s="11" t="s">
        <v>8</v>
      </c>
      <c r="C161" s="8">
        <v>4839</v>
      </c>
      <c r="D161" s="8">
        <v>594</v>
      </c>
      <c r="E161" s="8">
        <v>979778</v>
      </c>
      <c r="F161" s="9">
        <v>2.5803804535313102</v>
      </c>
      <c r="G161" s="10">
        <v>42591</v>
      </c>
      <c r="H161" s="20">
        <f t="shared" si="32"/>
        <v>4.3326141227910814E-3</v>
      </c>
      <c r="I161" s="14">
        <f t="shared" si="33"/>
        <v>4245</v>
      </c>
      <c r="J161" s="6">
        <v>45719</v>
      </c>
      <c r="K161" s="14">
        <f t="shared" ref="K161" si="41">AVERAGE(I158:I160)</f>
        <v>5381.333333333333</v>
      </c>
    </row>
    <row r="162" spans="1:11" x14ac:dyDescent="0.3">
      <c r="A162" s="6">
        <v>45726</v>
      </c>
      <c r="B162" s="11" t="s">
        <v>8</v>
      </c>
      <c r="C162" s="8">
        <v>9551</v>
      </c>
      <c r="D162" s="8">
        <v>828</v>
      </c>
      <c r="E162" s="8">
        <v>988501</v>
      </c>
      <c r="F162" s="9">
        <v>1.525036393488727</v>
      </c>
      <c r="G162" s="10">
        <v>38047</v>
      </c>
      <c r="H162" s="20">
        <f t="shared" si="32"/>
        <v>8.8244726105487E-3</v>
      </c>
      <c r="I162" s="14">
        <f t="shared" si="33"/>
        <v>8723</v>
      </c>
      <c r="J162" s="6">
        <v>45726</v>
      </c>
      <c r="K162" s="14"/>
    </row>
    <row r="163" spans="1:11" x14ac:dyDescent="0.3">
      <c r="A163" s="6">
        <v>45726</v>
      </c>
      <c r="B163" s="11" t="s">
        <v>7</v>
      </c>
      <c r="C163" s="8">
        <v>3376</v>
      </c>
      <c r="D163" s="8">
        <v>382</v>
      </c>
      <c r="E163" s="8">
        <v>991495</v>
      </c>
      <c r="F163" s="9">
        <v>3.8694093263203548</v>
      </c>
      <c r="G163" s="10">
        <v>44782</v>
      </c>
      <c r="H163" s="20">
        <f t="shared" si="32"/>
        <v>3.0196823988018094E-3</v>
      </c>
      <c r="I163" s="14">
        <f t="shared" si="33"/>
        <v>2994</v>
      </c>
      <c r="J163" s="6">
        <v>45726</v>
      </c>
    </row>
    <row r="164" spans="1:11" x14ac:dyDescent="0.3">
      <c r="A164" s="6">
        <v>45726</v>
      </c>
      <c r="B164" s="11" t="s">
        <v>9</v>
      </c>
      <c r="C164" s="8">
        <v>4009</v>
      </c>
      <c r="D164" s="8">
        <v>454</v>
      </c>
      <c r="E164" s="8">
        <v>995050</v>
      </c>
      <c r="F164" s="9">
        <v>2.1106477061454201</v>
      </c>
      <c r="G164" s="10">
        <v>19833</v>
      </c>
      <c r="H164" s="20">
        <f t="shared" si="32"/>
        <v>3.5726847897090599E-3</v>
      </c>
      <c r="I164" s="14">
        <f t="shared" si="33"/>
        <v>3555</v>
      </c>
      <c r="J164" s="6">
        <v>45726</v>
      </c>
    </row>
    <row r="165" spans="1:11" x14ac:dyDescent="0.3">
      <c r="A165" s="6">
        <v>45726</v>
      </c>
      <c r="B165" s="11" t="s">
        <v>10</v>
      </c>
      <c r="C165" s="8">
        <v>2827</v>
      </c>
      <c r="D165" s="8">
        <v>292</v>
      </c>
      <c r="E165" s="8">
        <v>997585</v>
      </c>
      <c r="F165" s="9">
        <v>2.4004972007397871</v>
      </c>
      <c r="G165" s="10">
        <v>17896</v>
      </c>
      <c r="H165" s="20">
        <f t="shared" si="32"/>
        <v>2.5411368454818384E-3</v>
      </c>
      <c r="I165" s="14">
        <f t="shared" si="33"/>
        <v>2535</v>
      </c>
      <c r="J165" s="6">
        <v>45726</v>
      </c>
      <c r="K165" s="14">
        <f t="shared" ref="K165" si="42">AVERAGE(I162:I164)</f>
        <v>5090.666666666667</v>
      </c>
    </row>
    <row r="166" spans="1:11" x14ac:dyDescent="0.3">
      <c r="A166" s="6">
        <v>45733</v>
      </c>
      <c r="B166" s="11" t="s">
        <v>10</v>
      </c>
      <c r="C166" s="8">
        <v>7979</v>
      </c>
      <c r="D166" s="8">
        <v>470</v>
      </c>
      <c r="E166" s="8">
        <v>1005094</v>
      </c>
      <c r="F166" s="9">
        <v>10.43086517280971</v>
      </c>
      <c r="G166" s="10">
        <v>42972</v>
      </c>
      <c r="H166" s="20">
        <f t="shared" si="32"/>
        <v>7.4709430162750948E-3</v>
      </c>
      <c r="I166" s="14">
        <f t="shared" si="33"/>
        <v>7509</v>
      </c>
      <c r="J166" s="6">
        <v>45733</v>
      </c>
      <c r="K166" s="14"/>
    </row>
    <row r="167" spans="1:11" x14ac:dyDescent="0.3">
      <c r="A167" s="6">
        <v>45733</v>
      </c>
      <c r="B167" s="11" t="s">
        <v>7</v>
      </c>
      <c r="C167" s="8">
        <v>9569</v>
      </c>
      <c r="D167" s="8">
        <v>1277</v>
      </c>
      <c r="E167" s="8">
        <v>1013386</v>
      </c>
      <c r="F167" s="9">
        <v>12.45517502708741</v>
      </c>
      <c r="G167" s="10">
        <v>59733</v>
      </c>
      <c r="H167" s="20">
        <f t="shared" si="32"/>
        <v>8.1824694637581338E-3</v>
      </c>
      <c r="I167" s="14">
        <f t="shared" si="33"/>
        <v>8292</v>
      </c>
      <c r="J167" s="6">
        <v>45733</v>
      </c>
      <c r="K167" s="14"/>
    </row>
    <row r="168" spans="1:11" x14ac:dyDescent="0.3">
      <c r="A168" s="6">
        <v>45733</v>
      </c>
      <c r="B168" s="11" t="s">
        <v>10</v>
      </c>
      <c r="C168" s="8">
        <v>5285</v>
      </c>
      <c r="D168" s="8">
        <v>433</v>
      </c>
      <c r="E168" s="8">
        <v>1018238</v>
      </c>
      <c r="F168" s="9">
        <v>8.7022876773406619</v>
      </c>
      <c r="G168" s="10">
        <v>51800</v>
      </c>
      <c r="H168" s="20">
        <f t="shared" si="32"/>
        <v>4.7650942117658151E-3</v>
      </c>
      <c r="I168" s="14">
        <f t="shared" si="33"/>
        <v>4852</v>
      </c>
      <c r="J168" s="6">
        <v>45733</v>
      </c>
      <c r="K168" s="14"/>
    </row>
    <row r="169" spans="1:11" x14ac:dyDescent="0.3">
      <c r="A169" s="6">
        <v>45733</v>
      </c>
      <c r="B169" s="11" t="s">
        <v>10</v>
      </c>
      <c r="C169" s="8">
        <v>7910</v>
      </c>
      <c r="D169" s="8">
        <v>543</v>
      </c>
      <c r="E169" s="8">
        <v>1025605</v>
      </c>
      <c r="F169" s="9">
        <v>6.0590578244060822</v>
      </c>
      <c r="G169" s="10">
        <v>40508</v>
      </c>
      <c r="H169" s="20">
        <f t="shared" si="32"/>
        <v>7.183077305590359E-3</v>
      </c>
      <c r="I169" s="14">
        <f t="shared" si="33"/>
        <v>7367</v>
      </c>
      <c r="J169" s="6">
        <v>45733</v>
      </c>
      <c r="K169" s="14">
        <f t="shared" ref="K169" si="43">AVERAGE(I166:I169)</f>
        <v>7005</v>
      </c>
    </row>
    <row r="170" spans="1:11" x14ac:dyDescent="0.3">
      <c r="A170" s="6">
        <v>45740</v>
      </c>
      <c r="B170" s="11" t="s">
        <v>10</v>
      </c>
      <c r="C170" s="8">
        <v>9561</v>
      </c>
      <c r="D170" s="8">
        <v>517</v>
      </c>
      <c r="E170" s="8">
        <v>1034649</v>
      </c>
      <c r="F170" s="9">
        <v>6.4086467971263694</v>
      </c>
      <c r="G170" s="10">
        <v>15347</v>
      </c>
      <c r="H170" s="20">
        <f t="shared" si="32"/>
        <v>8.741128633961856E-3</v>
      </c>
      <c r="I170" s="14">
        <f t="shared" si="33"/>
        <v>9044</v>
      </c>
      <c r="J170" s="6">
        <v>45740</v>
      </c>
      <c r="K170" s="14"/>
    </row>
    <row r="171" spans="1:11" x14ac:dyDescent="0.3">
      <c r="A171" s="6">
        <v>45740</v>
      </c>
      <c r="B171" s="11" t="s">
        <v>10</v>
      </c>
      <c r="C171" s="8">
        <v>3196</v>
      </c>
      <c r="D171" s="8">
        <v>348</v>
      </c>
      <c r="E171" s="8">
        <v>1037497</v>
      </c>
      <c r="F171" s="9">
        <v>14.03040201562029</v>
      </c>
      <c r="G171" s="10">
        <v>40314</v>
      </c>
      <c r="H171" s="20">
        <f t="shared" si="32"/>
        <v>2.7450681785103955E-3</v>
      </c>
      <c r="I171" s="14">
        <f t="shared" si="33"/>
        <v>2848</v>
      </c>
      <c r="J171" s="6">
        <v>45740</v>
      </c>
      <c r="K171" s="14"/>
    </row>
    <row r="172" spans="1:11" x14ac:dyDescent="0.3">
      <c r="A172" s="6">
        <v>45740</v>
      </c>
      <c r="B172" s="11" t="s">
        <v>9</v>
      </c>
      <c r="C172" s="8">
        <v>4747</v>
      </c>
      <c r="D172" s="8">
        <v>558</v>
      </c>
      <c r="E172" s="8">
        <v>1041686</v>
      </c>
      <c r="F172" s="9">
        <v>5.7680529449373434</v>
      </c>
      <c r="G172" s="10">
        <v>12643</v>
      </c>
      <c r="H172" s="20">
        <f t="shared" si="32"/>
        <v>4.021365363458854E-3</v>
      </c>
      <c r="I172" s="14">
        <f t="shared" si="33"/>
        <v>4189</v>
      </c>
      <c r="J172" s="6">
        <v>45740</v>
      </c>
    </row>
    <row r="173" spans="1:11" x14ac:dyDescent="0.3">
      <c r="A173" s="6">
        <v>45740</v>
      </c>
      <c r="B173" s="11" t="s">
        <v>10</v>
      </c>
      <c r="C173" s="8">
        <v>9843</v>
      </c>
      <c r="D173" s="8">
        <v>508</v>
      </c>
      <c r="E173" s="8">
        <v>1051021</v>
      </c>
      <c r="F173" s="9">
        <v>4.2080986012648651</v>
      </c>
      <c r="G173" s="10">
        <v>50785</v>
      </c>
      <c r="H173" s="20">
        <f t="shared" si="32"/>
        <v>8.8818396587699005E-3</v>
      </c>
      <c r="I173" s="14">
        <f t="shared" si="33"/>
        <v>9335</v>
      </c>
      <c r="J173" s="6">
        <v>45740</v>
      </c>
      <c r="K173" s="14">
        <f t="shared" ref="K173" si="44">AVERAGE(I171:I173)</f>
        <v>5457.333333333333</v>
      </c>
    </row>
    <row r="174" spans="1:11" x14ac:dyDescent="0.3">
      <c r="A174" s="6">
        <v>45747</v>
      </c>
      <c r="B174" s="11" t="s">
        <v>8</v>
      </c>
      <c r="C174" s="8">
        <v>6978</v>
      </c>
      <c r="D174" s="8">
        <v>706</v>
      </c>
      <c r="E174" s="8">
        <v>1057293</v>
      </c>
      <c r="F174" s="9">
        <v>5.057443868445171</v>
      </c>
      <c r="G174" s="10">
        <v>28681</v>
      </c>
      <c r="H174" s="20">
        <f t="shared" si="32"/>
        <v>5.9321304501212058E-3</v>
      </c>
      <c r="I174" s="14">
        <f t="shared" si="33"/>
        <v>6272</v>
      </c>
      <c r="J174" s="6">
        <v>45747</v>
      </c>
      <c r="K174" s="14"/>
    </row>
    <row r="175" spans="1:11" x14ac:dyDescent="0.3">
      <c r="A175" s="6">
        <v>45747</v>
      </c>
      <c r="B175" s="11" t="s">
        <v>7</v>
      </c>
      <c r="C175" s="8">
        <v>6607</v>
      </c>
      <c r="D175" s="8">
        <v>479</v>
      </c>
      <c r="E175" s="8">
        <v>1063421</v>
      </c>
      <c r="F175" s="9">
        <v>5.5892257158735816</v>
      </c>
      <c r="G175" s="10">
        <v>48328</v>
      </c>
      <c r="H175" s="20">
        <f t="shared" si="32"/>
        <v>5.7625343114345116E-3</v>
      </c>
      <c r="I175" s="14">
        <f t="shared" si="33"/>
        <v>6128</v>
      </c>
      <c r="J175" s="6">
        <v>45747</v>
      </c>
      <c r="K175" s="14"/>
    </row>
    <row r="176" spans="1:11" x14ac:dyDescent="0.3">
      <c r="A176" s="6">
        <v>45747</v>
      </c>
      <c r="B176" s="11" t="s">
        <v>9</v>
      </c>
      <c r="C176" s="8">
        <v>1769</v>
      </c>
      <c r="D176" s="8">
        <v>202</v>
      </c>
      <c r="E176" s="8">
        <v>1064988</v>
      </c>
      <c r="F176" s="9">
        <v>6.5457075572682513</v>
      </c>
      <c r="G176" s="10">
        <v>25892</v>
      </c>
      <c r="H176" s="20">
        <f t="shared" si="32"/>
        <v>1.4713780812553757E-3</v>
      </c>
      <c r="I176" s="14">
        <f t="shared" si="33"/>
        <v>1567</v>
      </c>
      <c r="J176" s="6">
        <v>45747</v>
      </c>
      <c r="K176" s="14"/>
    </row>
    <row r="177" spans="1:11" x14ac:dyDescent="0.3">
      <c r="A177" s="6">
        <v>45747</v>
      </c>
      <c r="B177" s="11" t="s">
        <v>10</v>
      </c>
      <c r="C177" s="8">
        <v>1780</v>
      </c>
      <c r="D177" s="8">
        <v>120</v>
      </c>
      <c r="E177" s="8">
        <v>1066648</v>
      </c>
      <c r="F177" s="9">
        <v>13.86474263299608</v>
      </c>
      <c r="G177" s="10">
        <v>57299</v>
      </c>
      <c r="H177" s="20">
        <f t="shared" si="32"/>
        <v>1.55627723485161E-3</v>
      </c>
      <c r="I177" s="14">
        <f t="shared" si="33"/>
        <v>1660</v>
      </c>
      <c r="J177" s="6">
        <v>45747</v>
      </c>
      <c r="K177" s="14">
        <f t="shared" ref="K177" si="45">AVERAGE(I174:I176)</f>
        <v>4655.666666666667</v>
      </c>
    </row>
    <row r="178" spans="1:11" x14ac:dyDescent="0.3">
      <c r="A178" s="6">
        <v>45754</v>
      </c>
      <c r="B178" s="11" t="s">
        <v>9</v>
      </c>
      <c r="C178" s="8">
        <v>7303</v>
      </c>
      <c r="D178" s="8">
        <v>869</v>
      </c>
      <c r="E178" s="8">
        <v>1073082</v>
      </c>
      <c r="F178" s="9">
        <v>8.1237966902808925</v>
      </c>
      <c r="G178" s="10">
        <v>27073</v>
      </c>
      <c r="H178" s="20">
        <f t="shared" si="32"/>
        <v>5.9958139266151145E-3</v>
      </c>
      <c r="I178" s="14">
        <f t="shared" si="33"/>
        <v>6434</v>
      </c>
      <c r="J178" s="6">
        <v>45754</v>
      </c>
      <c r="K178" s="14"/>
    </row>
    <row r="179" spans="1:11" x14ac:dyDescent="0.3">
      <c r="A179" s="6">
        <v>45754</v>
      </c>
      <c r="B179" s="11" t="s">
        <v>10</v>
      </c>
      <c r="C179" s="8">
        <v>4983</v>
      </c>
      <c r="D179" s="8">
        <v>441</v>
      </c>
      <c r="E179" s="8">
        <v>1077624</v>
      </c>
      <c r="F179" s="9">
        <v>6.8954477628560609</v>
      </c>
      <c r="G179" s="10">
        <v>46768</v>
      </c>
      <c r="H179" s="20">
        <f t="shared" si="32"/>
        <v>4.2148281775461569E-3</v>
      </c>
      <c r="I179" s="14">
        <f t="shared" si="33"/>
        <v>4542</v>
      </c>
      <c r="J179" s="6">
        <v>45754</v>
      </c>
    </row>
    <row r="180" spans="1:11" x14ac:dyDescent="0.3">
      <c r="A180" s="6">
        <v>45754</v>
      </c>
      <c r="B180" s="11" t="s">
        <v>8</v>
      </c>
      <c r="C180" s="8">
        <v>9714</v>
      </c>
      <c r="D180" s="8">
        <v>1395</v>
      </c>
      <c r="E180" s="8">
        <v>1085943</v>
      </c>
      <c r="F180" s="9">
        <v>5.2243073531483697</v>
      </c>
      <c r="G180" s="10">
        <v>40682</v>
      </c>
      <c r="H180" s="20">
        <f t="shared" si="32"/>
        <v>7.6606230713766746E-3</v>
      </c>
      <c r="I180" s="14">
        <f t="shared" si="33"/>
        <v>8319</v>
      </c>
      <c r="J180" s="6">
        <v>45754</v>
      </c>
    </row>
    <row r="181" spans="1:11" x14ac:dyDescent="0.3">
      <c r="A181" s="6">
        <v>45754</v>
      </c>
      <c r="B181" s="11" t="s">
        <v>7</v>
      </c>
      <c r="C181" s="8">
        <v>1521</v>
      </c>
      <c r="D181" s="8">
        <v>96</v>
      </c>
      <c r="E181" s="8">
        <v>1087368</v>
      </c>
      <c r="F181" s="9">
        <v>12.709772588488899</v>
      </c>
      <c r="G181" s="10">
        <v>42262</v>
      </c>
      <c r="H181" s="20">
        <f t="shared" si="32"/>
        <v>1.3105038956452645E-3</v>
      </c>
      <c r="I181" s="14">
        <f t="shared" si="33"/>
        <v>1425</v>
      </c>
      <c r="J181" s="6">
        <v>45754</v>
      </c>
      <c r="K181" s="14">
        <f t="shared" ref="K181" si="46">AVERAGE(I178:I180)</f>
        <v>6431.666666666667</v>
      </c>
    </row>
    <row r="182" spans="1:11" x14ac:dyDescent="0.3">
      <c r="A182" s="6">
        <v>45761</v>
      </c>
      <c r="B182" s="11" t="s">
        <v>10</v>
      </c>
      <c r="C182" s="8">
        <v>8569</v>
      </c>
      <c r="D182" s="8">
        <v>720</v>
      </c>
      <c r="E182" s="8">
        <v>1095217</v>
      </c>
      <c r="F182" s="9">
        <v>9.589697749395782</v>
      </c>
      <c r="G182" s="10">
        <v>41358</v>
      </c>
      <c r="H182" s="20">
        <f t="shared" si="32"/>
        <v>7.1666162961312686E-3</v>
      </c>
      <c r="I182" s="14">
        <f t="shared" si="33"/>
        <v>7849</v>
      </c>
      <c r="J182" s="6">
        <v>45761</v>
      </c>
      <c r="K182" s="14"/>
    </row>
    <row r="183" spans="1:11" x14ac:dyDescent="0.3">
      <c r="A183" s="6">
        <v>45761</v>
      </c>
      <c r="B183" s="11" t="s">
        <v>10</v>
      </c>
      <c r="C183" s="8">
        <v>6784</v>
      </c>
      <c r="D183" s="8">
        <v>416</v>
      </c>
      <c r="E183" s="8">
        <v>1101585</v>
      </c>
      <c r="F183" s="9">
        <v>9.3041390360253633</v>
      </c>
      <c r="G183" s="10">
        <v>24289</v>
      </c>
      <c r="H183" s="20">
        <f t="shared" si="32"/>
        <v>5.7807613574985131E-3</v>
      </c>
      <c r="I183" s="14">
        <f t="shared" si="33"/>
        <v>6368</v>
      </c>
      <c r="J183" s="6">
        <v>45761</v>
      </c>
      <c r="K183" s="14"/>
    </row>
    <row r="184" spans="1:11" x14ac:dyDescent="0.3">
      <c r="A184" s="6">
        <v>45761</v>
      </c>
      <c r="B184" s="11" t="s">
        <v>10</v>
      </c>
      <c r="C184" s="8">
        <v>5583</v>
      </c>
      <c r="D184" s="8">
        <v>795</v>
      </c>
      <c r="E184" s="8">
        <v>1106373</v>
      </c>
      <c r="F184" s="9">
        <v>12.21550055903389</v>
      </c>
      <c r="G184" s="10">
        <v>59823</v>
      </c>
      <c r="H184" s="20">
        <f t="shared" si="32"/>
        <v>4.327654416729259E-3</v>
      </c>
      <c r="I184" s="14">
        <f t="shared" si="33"/>
        <v>4788</v>
      </c>
      <c r="J184" s="6">
        <v>45761</v>
      </c>
      <c r="K184" s="14"/>
    </row>
    <row r="185" spans="1:11" x14ac:dyDescent="0.3">
      <c r="A185" s="6">
        <v>45761</v>
      </c>
      <c r="B185" s="11" t="s">
        <v>10</v>
      </c>
      <c r="C185" s="8">
        <v>6946</v>
      </c>
      <c r="D185" s="8">
        <v>956</v>
      </c>
      <c r="E185" s="8">
        <v>1112363</v>
      </c>
      <c r="F185" s="9">
        <v>1.64146056637986</v>
      </c>
      <c r="G185" s="10">
        <v>17927</v>
      </c>
      <c r="H185" s="20">
        <f t="shared" si="32"/>
        <v>5.3849327962185002E-3</v>
      </c>
      <c r="I185" s="14">
        <f t="shared" si="33"/>
        <v>5990</v>
      </c>
      <c r="J185" s="6">
        <v>45761</v>
      </c>
      <c r="K185" s="14">
        <f t="shared" ref="K185" si="47">AVERAGE(I182:I185)</f>
        <v>6248.75</v>
      </c>
    </row>
    <row r="186" spans="1:11" x14ac:dyDescent="0.3">
      <c r="A186" s="6">
        <v>45768</v>
      </c>
      <c r="B186" s="11" t="s">
        <v>7</v>
      </c>
      <c r="C186" s="8">
        <v>5941</v>
      </c>
      <c r="D186" s="8">
        <v>450</v>
      </c>
      <c r="E186" s="8">
        <v>1117854</v>
      </c>
      <c r="F186" s="9">
        <v>12.414411899944</v>
      </c>
      <c r="G186" s="10">
        <v>58330</v>
      </c>
      <c r="H186" s="20">
        <f t="shared" si="32"/>
        <v>4.9120904876665469E-3</v>
      </c>
      <c r="I186" s="14">
        <f t="shared" si="33"/>
        <v>5491</v>
      </c>
      <c r="J186" s="6">
        <v>45768</v>
      </c>
      <c r="K186" s="14"/>
    </row>
    <row r="187" spans="1:11" x14ac:dyDescent="0.3">
      <c r="A187" s="6">
        <v>45768</v>
      </c>
      <c r="B187" s="11" t="s">
        <v>7</v>
      </c>
      <c r="C187" s="8">
        <v>7267</v>
      </c>
      <c r="D187" s="8">
        <v>842</v>
      </c>
      <c r="E187" s="8">
        <v>1124279</v>
      </c>
      <c r="F187" s="9">
        <v>2.2102165031989389</v>
      </c>
      <c r="G187" s="10">
        <v>11171</v>
      </c>
      <c r="H187" s="20">
        <f t="shared" si="32"/>
        <v>5.7147736460433753E-3</v>
      </c>
      <c r="I187" s="14">
        <f t="shared" si="33"/>
        <v>6425</v>
      </c>
      <c r="J187" s="6">
        <v>45768</v>
      </c>
      <c r="K187" s="14"/>
    </row>
    <row r="188" spans="1:11" x14ac:dyDescent="0.3">
      <c r="A188" s="6">
        <v>45768</v>
      </c>
      <c r="B188" s="11" t="s">
        <v>8</v>
      </c>
      <c r="C188" s="8">
        <v>8128</v>
      </c>
      <c r="D188" s="8">
        <v>1070</v>
      </c>
      <c r="E188" s="8">
        <v>1131337</v>
      </c>
      <c r="F188" s="9">
        <v>8.1114645768679008</v>
      </c>
      <c r="G188" s="10">
        <v>21918</v>
      </c>
      <c r="H188" s="20">
        <f t="shared" si="32"/>
        <v>6.2386362330587612E-3</v>
      </c>
      <c r="I188" s="14">
        <f t="shared" si="33"/>
        <v>7058</v>
      </c>
      <c r="J188" s="6">
        <v>45768</v>
      </c>
    </row>
    <row r="189" spans="1:11" x14ac:dyDescent="0.3">
      <c r="A189" s="6">
        <v>45768</v>
      </c>
      <c r="B189" s="11" t="s">
        <v>7</v>
      </c>
      <c r="C189" s="8">
        <v>3461</v>
      </c>
      <c r="D189" s="8">
        <v>365</v>
      </c>
      <c r="E189" s="8">
        <v>1134433</v>
      </c>
      <c r="F189" s="9">
        <v>10.23489267325616</v>
      </c>
      <c r="G189" s="10">
        <v>51903</v>
      </c>
      <c r="H189" s="20">
        <f t="shared" si="32"/>
        <v>2.7291166600407427E-3</v>
      </c>
      <c r="I189" s="14">
        <f t="shared" si="33"/>
        <v>3096</v>
      </c>
      <c r="J189" s="6">
        <v>45768</v>
      </c>
      <c r="K189" s="14">
        <f t="shared" ref="K189" si="48">AVERAGE(I187:I189)</f>
        <v>5526.333333333333</v>
      </c>
    </row>
    <row r="190" spans="1:11" x14ac:dyDescent="0.3">
      <c r="A190" s="6">
        <v>45775</v>
      </c>
      <c r="B190" s="11" t="s">
        <v>10</v>
      </c>
      <c r="C190" s="8">
        <v>1685</v>
      </c>
      <c r="D190" s="8">
        <v>173</v>
      </c>
      <c r="E190" s="8">
        <v>1135945</v>
      </c>
      <c r="F190" s="9">
        <v>8.7776256772995165</v>
      </c>
      <c r="G190" s="10">
        <v>49110</v>
      </c>
      <c r="H190" s="20">
        <f t="shared" si="32"/>
        <v>1.331050358952238E-3</v>
      </c>
      <c r="I190" s="14">
        <f t="shared" si="33"/>
        <v>1512</v>
      </c>
      <c r="J190" s="6">
        <v>45775</v>
      </c>
      <c r="K190" s="14"/>
    </row>
    <row r="191" spans="1:11" x14ac:dyDescent="0.3">
      <c r="A191" s="6">
        <v>45775</v>
      </c>
      <c r="B191" s="11" t="s">
        <v>8</v>
      </c>
      <c r="C191" s="8">
        <v>3160</v>
      </c>
      <c r="D191" s="8">
        <v>234</v>
      </c>
      <c r="E191" s="8">
        <v>1138871</v>
      </c>
      <c r="F191" s="9">
        <v>5.6959041015180816</v>
      </c>
      <c r="G191" s="10">
        <v>21929</v>
      </c>
      <c r="H191" s="20">
        <f t="shared" si="32"/>
        <v>2.5692110871204906E-3</v>
      </c>
      <c r="I191" s="14">
        <f t="shared" si="33"/>
        <v>2926</v>
      </c>
      <c r="J191" s="6">
        <v>45775</v>
      </c>
      <c r="K191" s="14"/>
    </row>
    <row r="192" spans="1:11" x14ac:dyDescent="0.3">
      <c r="A192" s="6">
        <v>45775</v>
      </c>
      <c r="B192" s="11" t="s">
        <v>8</v>
      </c>
      <c r="C192" s="8">
        <v>8031</v>
      </c>
      <c r="D192" s="8">
        <v>476</v>
      </c>
      <c r="E192" s="8">
        <v>1146426</v>
      </c>
      <c r="F192" s="9">
        <v>11.940413075069831</v>
      </c>
      <c r="G192" s="10">
        <v>12539</v>
      </c>
      <c r="H192" s="20">
        <f t="shared" si="32"/>
        <v>6.5900459340594159E-3</v>
      </c>
      <c r="I192" s="14">
        <f t="shared" si="33"/>
        <v>7555</v>
      </c>
      <c r="J192" s="6">
        <v>45775</v>
      </c>
      <c r="K192" s="14"/>
    </row>
    <row r="193" spans="1:11" x14ac:dyDescent="0.3">
      <c r="A193" s="6">
        <v>45775</v>
      </c>
      <c r="B193" s="11" t="s">
        <v>8</v>
      </c>
      <c r="C193" s="8">
        <v>6341</v>
      </c>
      <c r="D193" s="8">
        <v>885</v>
      </c>
      <c r="E193" s="8">
        <v>1151882</v>
      </c>
      <c r="F193" s="9">
        <v>6.3457020771224837</v>
      </c>
      <c r="G193" s="10">
        <v>46727</v>
      </c>
      <c r="H193" s="20">
        <f t="shared" si="32"/>
        <v>4.7365962832998515E-3</v>
      </c>
      <c r="I193" s="14">
        <f t="shared" si="33"/>
        <v>5456</v>
      </c>
      <c r="J193" s="6">
        <v>45775</v>
      </c>
      <c r="K193" s="14">
        <f t="shared" ref="K193" si="49">AVERAGE(I190:I192)</f>
        <v>3997.6666666666665</v>
      </c>
    </row>
    <row r="194" spans="1:11" x14ac:dyDescent="0.3">
      <c r="A194" s="6">
        <v>45782</v>
      </c>
      <c r="B194" s="11" t="s">
        <v>10</v>
      </c>
      <c r="C194" s="8">
        <v>1038</v>
      </c>
      <c r="D194" s="8">
        <v>145</v>
      </c>
      <c r="E194" s="8">
        <v>1152775</v>
      </c>
      <c r="F194" s="9">
        <v>11.093752033137431</v>
      </c>
      <c r="G194" s="10">
        <v>55951</v>
      </c>
      <c r="H194" s="20">
        <f t="shared" si="32"/>
        <v>7.7465246904209403E-4</v>
      </c>
      <c r="I194" s="14">
        <f t="shared" si="33"/>
        <v>893</v>
      </c>
      <c r="J194" s="6">
        <v>45782</v>
      </c>
      <c r="K194" s="14"/>
    </row>
    <row r="195" spans="1:11" x14ac:dyDescent="0.3">
      <c r="A195" s="6">
        <v>45782</v>
      </c>
      <c r="B195" s="11" t="s">
        <v>9</v>
      </c>
      <c r="C195" s="8">
        <v>5875</v>
      </c>
      <c r="D195" s="8">
        <v>665</v>
      </c>
      <c r="E195" s="8">
        <v>1157985</v>
      </c>
      <c r="F195" s="9">
        <v>6.9871371390821126</v>
      </c>
      <c r="G195" s="10">
        <v>32669</v>
      </c>
      <c r="H195" s="20">
        <f t="shared" ref="H195:H201" si="50">(I195)/(E195)</f>
        <v>4.4991947218659999E-3</v>
      </c>
      <c r="I195" s="14">
        <f t="shared" ref="I195:I201" si="51">(C195)-(D195)</f>
        <v>5210</v>
      </c>
      <c r="J195" s="6">
        <v>45782</v>
      </c>
    </row>
    <row r="196" spans="1:11" x14ac:dyDescent="0.3">
      <c r="A196" s="6">
        <v>45782</v>
      </c>
      <c r="B196" s="11" t="s">
        <v>10</v>
      </c>
      <c r="C196" s="8">
        <v>2256</v>
      </c>
      <c r="D196" s="8">
        <v>189</v>
      </c>
      <c r="E196" s="8">
        <v>1160052</v>
      </c>
      <c r="F196" s="9">
        <v>2.8935771844710412</v>
      </c>
      <c r="G196" s="10">
        <v>15432</v>
      </c>
      <c r="H196" s="20">
        <f t="shared" si="50"/>
        <v>1.7818166771834366E-3</v>
      </c>
      <c r="I196" s="14">
        <f t="shared" si="51"/>
        <v>2067</v>
      </c>
      <c r="J196" s="6">
        <v>45782</v>
      </c>
    </row>
    <row r="197" spans="1:11" x14ac:dyDescent="0.3">
      <c r="A197" s="6">
        <v>45782</v>
      </c>
      <c r="B197" s="11" t="s">
        <v>7</v>
      </c>
      <c r="C197" s="8">
        <v>8697</v>
      </c>
      <c r="D197" s="8">
        <v>738</v>
      </c>
      <c r="E197" s="8">
        <v>1168011</v>
      </c>
      <c r="F197" s="9">
        <v>3.8777032065622672</v>
      </c>
      <c r="G197" s="10">
        <v>30644</v>
      </c>
      <c r="H197" s="20">
        <f t="shared" si="50"/>
        <v>6.8141481544266276E-3</v>
      </c>
      <c r="I197" s="14">
        <f t="shared" si="51"/>
        <v>7959</v>
      </c>
      <c r="J197" s="6">
        <v>45782</v>
      </c>
      <c r="K197" s="14">
        <f t="shared" ref="K197" si="52">AVERAGE(I194:I196)</f>
        <v>2723.3333333333335</v>
      </c>
    </row>
    <row r="198" spans="1:11" x14ac:dyDescent="0.3">
      <c r="A198" s="6">
        <v>45789</v>
      </c>
      <c r="B198" s="11" t="s">
        <v>7</v>
      </c>
      <c r="C198" s="8">
        <v>3196</v>
      </c>
      <c r="D198" s="8">
        <v>391</v>
      </c>
      <c r="E198" s="8">
        <v>1170816</v>
      </c>
      <c r="F198" s="9">
        <v>7.2439221876024931</v>
      </c>
      <c r="G198" s="10">
        <v>28745</v>
      </c>
      <c r="H198" s="20">
        <f t="shared" si="50"/>
        <v>2.3957650049196456E-3</v>
      </c>
      <c r="I198" s="14">
        <f t="shared" si="51"/>
        <v>2805</v>
      </c>
      <c r="J198" s="6">
        <v>45789</v>
      </c>
      <c r="K198" s="14"/>
    </row>
    <row r="199" spans="1:11" x14ac:dyDescent="0.3">
      <c r="A199" s="6">
        <v>45789</v>
      </c>
      <c r="B199" s="11" t="s">
        <v>10</v>
      </c>
      <c r="C199" s="8">
        <v>8165</v>
      </c>
      <c r="D199" s="8">
        <v>1140</v>
      </c>
      <c r="E199" s="8">
        <v>1177841</v>
      </c>
      <c r="F199" s="9">
        <v>9.095964565675672</v>
      </c>
      <c r="G199" s="10">
        <v>38228</v>
      </c>
      <c r="H199" s="20">
        <f t="shared" si="50"/>
        <v>5.9643024822535473E-3</v>
      </c>
      <c r="I199" s="14">
        <f t="shared" si="51"/>
        <v>7025</v>
      </c>
      <c r="J199" s="6">
        <v>45789</v>
      </c>
      <c r="K199" s="14"/>
    </row>
    <row r="200" spans="1:11" x14ac:dyDescent="0.3">
      <c r="A200" s="6">
        <v>45789</v>
      </c>
      <c r="B200" s="11" t="s">
        <v>10</v>
      </c>
      <c r="C200" s="8">
        <v>1301</v>
      </c>
      <c r="D200" s="8">
        <v>180</v>
      </c>
      <c r="E200" s="8">
        <v>1178962</v>
      </c>
      <c r="F200" s="9">
        <v>5.2275645864752214</v>
      </c>
      <c r="G200" s="10">
        <v>44521</v>
      </c>
      <c r="H200" s="20">
        <f t="shared" si="50"/>
        <v>9.5083641372665107E-4</v>
      </c>
      <c r="I200" s="14">
        <f t="shared" si="51"/>
        <v>1121</v>
      </c>
      <c r="J200" s="6">
        <v>45789</v>
      </c>
      <c r="K200" s="14"/>
    </row>
    <row r="201" spans="1:11" x14ac:dyDescent="0.3">
      <c r="A201" s="6">
        <v>45789</v>
      </c>
      <c r="B201" s="11" t="s">
        <v>8</v>
      </c>
      <c r="C201" s="8">
        <v>8527</v>
      </c>
      <c r="D201" s="8">
        <v>1091</v>
      </c>
      <c r="E201" s="8">
        <v>1186398</v>
      </c>
      <c r="F201" s="9">
        <v>1.676081719625286</v>
      </c>
      <c r="G201" s="10">
        <v>41703</v>
      </c>
      <c r="H201" s="20">
        <f t="shared" si="50"/>
        <v>6.267711172810473E-3</v>
      </c>
      <c r="I201" s="14">
        <f t="shared" si="51"/>
        <v>7436</v>
      </c>
      <c r="J201" s="6">
        <v>45789</v>
      </c>
      <c r="K201" s="14">
        <f t="shared" ref="K201" si="53">AVERAGE(I198:I201)</f>
        <v>4596.75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c</dc:creator>
  <cp:lastModifiedBy>Ananya c</cp:lastModifiedBy>
  <dcterms:created xsi:type="dcterms:W3CDTF">2026-04-26T07:16:09Z</dcterms:created>
  <dcterms:modified xsi:type="dcterms:W3CDTF">2026-04-30T11:44:00Z</dcterms:modified>
</cp:coreProperties>
</file>